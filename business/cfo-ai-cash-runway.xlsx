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unway assumptions" sheetId="1" r:id="rId1"/>
    <sheet name="Plan mix" sheetId="2" r:id="rId2"/>
    <sheet name="Monthly cash runway" sheetId="3" r:id="rId3"/>
    <sheet name="Model inputs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;(#,##0)"/>
    <numFmt numFmtId="165" formatCode="0.0%"/>
    <numFmt numFmtId="166" formatCode="0%"/>
    <numFmt numFmtId="167" formatCode="&quot;$&quot;#,##0.00;(&quot;$&quot;#,##0.00)"/>
    <numFmt numFmtId="168" formatCode="#,##0.0;(#,##0.0)"/>
    <numFmt numFmtId="169" formatCode="&quot;$&quot;#,##0;(&quot;$&quot;#,##0)"/>
    <numFmt numFmtId="170" formatCode="#,##0.###;(#,##0.###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0" fontId="3" fillId="0" borderId="0" xfId="0" applyFont="1" applyAlignment="1">
      <alignment vertical="center" horizontal="left"/>
    </xf>
    <xf numFmtId="164" fontId="3" fillId="0" borderId="0" xfId="0" applyNumberFormat="1" applyFon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9" fontId="3" fillId="0" borderId="0" xfId="0" applyNumberFormat="1" applyFont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170" fontId="0" fillId="0" borderId="0" xfId="0" applyNumberFormat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0" fontId="0" fillId="6" borderId="0" xfId="0" applyFill="1" applyAlignment="1">
      <alignment vertical="center" horizontal="left" indent="1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Runway assumptions</t>
        </is>
      </c>
    </row>
    <row r="2" ht="20" customHeight="1">
      <c r="A2" t="inlineStr" s="2">
        <is>
          <t xml:space="preserve">Cash runway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Avg bisects per customer</t>
        </is>
      </c>
      <c r="B5" s="6">
        <f>50</f>
        <v>50</v>
      </c>
    </row>
    <row r="6">
      <c r="A6" t="inlineStr" s="7">
        <is>
          <t xml:space="preserve">New customer growth</t>
        </is>
      </c>
      <c r="B6" s="8">
        <f>0.1</f>
        <v>0.1</v>
      </c>
    </row>
    <row r="7">
      <c r="A7" t="inlineStr" s="5">
        <is>
          <t xml:space="preserve">Monthly churn</t>
        </is>
      </c>
      <c r="B7" s="9">
        <f>0.03</f>
        <v>0.03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F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</cols>
  <sheetData>
    <row r="1" ht="32" customHeight="1">
      <c r="A1" t="inlineStr" s="1">
        <is>
          <t xml:space="preserve">Plan mix</t>
        </is>
      </c>
    </row>
    <row r="2" ht="20" customHeight="1">
      <c r="A2" t="inlineStr" s="2">
        <is>
          <t xml:space="preserve">Cash runway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Plan mix</t>
        </is>
      </c>
      <c r="C4" t="inlineStr" s="4">
        <is>
          <t xml:space="preserve">Revenue per customer at avg volume</t>
        </is>
      </c>
      <c r="D4" t="inlineStr" s="4">
        <is>
          <t xml:space="preserve">Gross profit per customer at avg volume</t>
        </is>
      </c>
      <c r="E4" t="inlineStr" s="4">
        <is>
          <t xml:space="preserve">Weighted revenue per customer</t>
        </is>
      </c>
      <c r="F4" t="inlineStr" s="4">
        <is>
          <t xml:space="preserve">Weighted gross profit per customer</t>
        </is>
      </c>
    </row>
    <row r="5">
      <c r="A5" t="inlineStr" s="5">
        <is>
          <t xml:space="preserve">A · Flat $199/repo</t>
        </is>
      </c>
      <c r="B5" s="10">
        <f>0</f>
        <v>0</v>
      </c>
      <c r="C5" s="11">
        <f>'Model inputs'!B31*'Model inputs'!B27+'Model inputs'!B22*'Runway assumptions'!B5</f>
        <v>199</v>
      </c>
      <c r="D5" s="11">
        <f>'Plan mix'!C5-(1-'Model inputs'!B10)*'Runway assumptions'!B5*SUM('Model inputs'!B15,'Model inputs'!B16,'Model inputs'!B17)-IF(IF(IF(IF(ISERROR('Plan mix'!C5&gt;0),'Plan mix'!C5&gt;0,IF('Plan mix'!C5="","",'Plan mix'!C5&gt;0))="",FALSE,IF(ISERROR('Plan mix'!C5&gt;0),'Plan mix'!C5&gt;0,IF('Plan mix'!C5="","",'Plan mix'!C5&gt;0))),'Plan mix'!C5*'Model inputs'!B8+'Model inputs'!B7,0)="",0,IF(IF(IF(ISERROR('Plan mix'!C5&gt;0),'Plan mix'!C5&gt;0,IF('Plan mix'!C5="","",'Plan mix'!C5&gt;0))="",FALSE,IF(ISERROR('Plan mix'!C5&gt;0),'Plan mix'!C5&gt;0,IF('Plan mix'!C5="","",'Plan mix'!C5&gt;0))),'Plan mix'!C5*'Model inputs'!B8+'Model inputs'!B7,0))</f>
        <v>180.329</v>
      </c>
      <c r="E5" s="11">
        <f>'Plan mix'!B5*'Plan mix'!C5</f>
        <v>0</v>
      </c>
      <c r="F5" s="11">
        <f>'Plan mix'!B5*'Plan mix'!D5</f>
        <v>0</v>
      </c>
    </row>
    <row r="6">
      <c r="A6" t="inlineStr" s="7">
        <is>
          <t xml:space="preserve">A · Flat $49/repo</t>
        </is>
      </c>
      <c r="B6" s="12">
        <f>0</f>
        <v>0</v>
      </c>
      <c r="C6" s="13">
        <f>'Model inputs'!B31*'Model inputs'!B28+'Model inputs'!B23*'Runway assumptions'!B5</f>
        <v>49</v>
      </c>
      <c r="D6" s="13">
        <f>'Plan mix'!C6-(1-'Model inputs'!B11)*'Runway assumptions'!B5*SUM('Model inputs'!B15,'Model inputs'!B16,'Model inputs'!B17)-IF(IF(IF(IF(ISERROR('Plan mix'!C6&gt;0),'Plan mix'!C6&gt;0,IF('Plan mix'!C6="","",'Plan mix'!C6&gt;0))="",FALSE,IF(ISERROR('Plan mix'!C6&gt;0),'Plan mix'!C6&gt;0,IF('Plan mix'!C6="","",'Plan mix'!C6&gt;0))),'Plan mix'!C6*'Model inputs'!B8+'Model inputs'!B7,0)="",0,IF(IF(IF(ISERROR('Plan mix'!C6&gt;0),'Plan mix'!C6&gt;0,IF('Plan mix'!C6="","",'Plan mix'!C6&gt;0))="",FALSE,IF(ISERROR('Plan mix'!C6&gt;0),'Plan mix'!C6&gt;0,IF('Plan mix'!C6="","",'Plan mix'!C6&gt;0))),'Plan mix'!C6*'Model inputs'!B8+'Model inputs'!B7,0))</f>
        <v>34.679</v>
      </c>
      <c r="E6" s="13">
        <f>'Plan mix'!B6*'Plan mix'!C6</f>
        <v>0</v>
      </c>
      <c r="F6" s="13">
        <f>'Plan mix'!B6*'Plan mix'!D6</f>
        <v>0</v>
      </c>
    </row>
    <row r="7">
      <c r="A7" t="inlineStr" s="7">
        <is>
          <t xml:space="preserve">B · BYOK + $99/repo</t>
        </is>
      </c>
      <c r="B7" s="12">
        <f>1</f>
        <v>1</v>
      </c>
      <c r="C7" s="13">
        <f>'Model inputs'!B31*'Model inputs'!B29+'Model inputs'!B24*'Runway assumptions'!B5</f>
        <v>99</v>
      </c>
      <c r="D7" s="13">
        <f>'Plan mix'!C7-(1-'Model inputs'!B12)*'Runway assumptions'!B5*SUM('Model inputs'!B15,'Model inputs'!B16,'Model inputs'!B17)-IF(IF(IF(IF(ISERROR('Plan mix'!C7&gt;0),'Plan mix'!C7&gt;0,IF('Plan mix'!C7="","",'Plan mix'!C7&gt;0))="",FALSE,IF(ISERROR('Plan mix'!C7&gt;0),'Plan mix'!C7&gt;0,IF('Plan mix'!C7="","",'Plan mix'!C7&gt;0))),'Plan mix'!C7*'Model inputs'!B8+'Model inputs'!B7,0)="",0,IF(IF(IF(ISERROR('Plan mix'!C7&gt;0),'Plan mix'!C7&gt;0,IF('Plan mix'!C7="","",'Plan mix'!C7&gt;0))="",FALSE,IF(ISERROR('Plan mix'!C7&gt;0),'Plan mix'!C7&gt;0,IF('Plan mix'!C7="","",'Plan mix'!C7&gt;0))),'Plan mix'!C7*'Model inputs'!B8+'Model inputs'!B7,0))</f>
        <v>95.829</v>
      </c>
      <c r="E7" s="13">
        <f>'Plan mix'!B7*'Plan mix'!C7</f>
        <v>99</v>
      </c>
      <c r="F7" s="13">
        <f>'Plan mix'!B7*'Plan mix'!D7</f>
        <v>95.829</v>
      </c>
    </row>
    <row r="8">
      <c r="A8" t="inlineStr" s="5">
        <is>
          <t xml:space="preserve">C · $5 per bisect</t>
        </is>
      </c>
      <c r="B8" s="10">
        <f>0</f>
        <v>0</v>
      </c>
      <c r="C8" s="11">
        <f>'Model inputs'!B31*'Model inputs'!B30+'Model inputs'!B25*'Runway assumptions'!B5</f>
        <v>250</v>
      </c>
      <c r="D8" s="11">
        <f>'Plan mix'!C8-(1-'Model inputs'!B13)*'Runway assumptions'!B5*SUM('Model inputs'!B15,'Model inputs'!B16,'Model inputs'!B17)-IF(IF(IF(IF(ISERROR('Plan mix'!C8&gt;0),'Plan mix'!C8&gt;0,IF('Plan mix'!C8="","",'Plan mix'!C8&gt;0))="",FALSE,IF(ISERROR('Plan mix'!C8&gt;0),'Plan mix'!C8&gt;0,IF('Plan mix'!C8="","",'Plan mix'!C8&gt;0))),'Plan mix'!C8*'Model inputs'!B8+'Model inputs'!B7,0)="",0,IF(IF(IF(ISERROR('Plan mix'!C8&gt;0),'Plan mix'!C8&gt;0,IF('Plan mix'!C8="","",'Plan mix'!C8&gt;0))="",FALSE,IF(ISERROR('Plan mix'!C8&gt;0),'Plan mix'!C8&gt;0,IF('Plan mix'!C8="","",'Plan mix'!C8&gt;0))),'Plan mix'!C8*'Model inputs'!B8+'Model inputs'!B7,0))</f>
        <v>229.85</v>
      </c>
      <c r="E8" s="11">
        <f>'Plan mix'!B8*'Plan mix'!C8</f>
        <v>0</v>
      </c>
      <c r="F8" s="11">
        <f>'Plan mix'!B8*'Plan mix'!D8</f>
        <v>0</v>
      </c>
    </row>
  </sheetData>
  <mergeCells count="1">
    <mergeCell ref="A1:F1"/>
  </mergeCells>
</worksheet>
</file>

<file path=xl/worksheets/sheet3.xml><?xml version="1.0" encoding="utf-8"?>
<worksheet xmlns="http://schemas.openxmlformats.org/spreadsheetml/2006/main">
  <dimension ref="A1:Z1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</cols>
  <sheetData>
    <row r="1" ht="32" customHeight="1">
      <c r="A1" t="inlineStr" s="1">
        <is>
          <t xml:space="preserve">Monthly cash runway</t>
        </is>
      </c>
    </row>
    <row r="2" ht="20" customHeight="1">
      <c r="A2" t="inlineStr" s="2">
        <is>
          <t xml:space="preserve">Cash runway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2026-09</t>
        </is>
      </c>
      <c r="C4" t="inlineStr" s="14">
        <is>
          <t xml:space="preserve">2026-10</t>
        </is>
      </c>
      <c r="D4" t="inlineStr" s="4">
        <is>
          <t xml:space="preserve">2026-11</t>
        </is>
      </c>
      <c r="E4" t="inlineStr" s="4">
        <is>
          <t xml:space="preserve">2026-12</t>
        </is>
      </c>
      <c r="F4" t="inlineStr" s="14">
        <is>
          <t xml:space="preserve">2027-01</t>
        </is>
      </c>
      <c r="G4" t="inlineStr" s="4">
        <is>
          <t xml:space="preserve">2027-02</t>
        </is>
      </c>
      <c r="H4" t="inlineStr" s="4">
        <is>
          <t xml:space="preserve">2027-03</t>
        </is>
      </c>
      <c r="I4" t="inlineStr" s="14">
        <is>
          <t xml:space="preserve">2027-04</t>
        </is>
      </c>
      <c r="J4" t="inlineStr" s="4">
        <is>
          <t xml:space="preserve">2027-05</t>
        </is>
      </c>
      <c r="K4" t="inlineStr" s="4">
        <is>
          <t xml:space="preserve">2027-06</t>
        </is>
      </c>
      <c r="L4" t="inlineStr" s="14">
        <is>
          <t xml:space="preserve">2027-07</t>
        </is>
      </c>
      <c r="M4" t="inlineStr" s="4">
        <is>
          <t xml:space="preserve">2027-08</t>
        </is>
      </c>
      <c r="N4" t="inlineStr" s="4">
        <is>
          <t xml:space="preserve">2027-09</t>
        </is>
      </c>
      <c r="O4" t="inlineStr" s="14">
        <is>
          <t xml:space="preserve">2027-10</t>
        </is>
      </c>
      <c r="P4" t="inlineStr" s="4">
        <is>
          <t xml:space="preserve">2027-11</t>
        </is>
      </c>
      <c r="Q4" t="inlineStr" s="4">
        <is>
          <t xml:space="preserve">2027-12</t>
        </is>
      </c>
      <c r="R4" t="inlineStr" s="14">
        <is>
          <t xml:space="preserve">2028-01</t>
        </is>
      </c>
      <c r="S4" t="inlineStr" s="4">
        <is>
          <t xml:space="preserve">2028-02</t>
        </is>
      </c>
      <c r="T4" t="inlineStr" s="4">
        <is>
          <t xml:space="preserve">2028-03</t>
        </is>
      </c>
      <c r="U4" t="inlineStr" s="14">
        <is>
          <t xml:space="preserve">2028-04</t>
        </is>
      </c>
      <c r="V4" t="inlineStr" s="4">
        <is>
          <t xml:space="preserve">2028-05</t>
        </is>
      </c>
      <c r="W4" t="inlineStr" s="4">
        <is>
          <t xml:space="preserve">2028-06</t>
        </is>
      </c>
      <c r="X4" t="inlineStr" s="14">
        <is>
          <t xml:space="preserve">2028-07</t>
        </is>
      </c>
      <c r="Y4" t="inlineStr" s="4">
        <is>
          <t xml:space="preserve">2028-08</t>
        </is>
      </c>
      <c r="Z4" t="inlineStr" s="4">
        <is>
          <t xml:space="preserve">2028-09</t>
        </is>
      </c>
    </row>
    <row r="5">
      <c r="A5" t="inlineStr" s="5">
        <is>
          <t xml:space="preserve">New customers</t>
        </is>
      </c>
      <c r="B5" s="15">
        <f>5</f>
        <v>5</v>
      </c>
      <c r="C5" s="15">
        <f>'Monthly cash runway'!B5*(1+'Runway assumptions'!B6)</f>
        <v>5.5</v>
      </c>
      <c r="D5" s="15">
        <f>'Monthly cash runway'!C5*(1+'Runway assumptions'!B6)</f>
        <v>6.050000000000001</v>
      </c>
      <c r="E5" s="15">
        <f>'Monthly cash runway'!D5*(1+'Runway assumptions'!B6)</f>
        <v>6.655000000000001</v>
      </c>
      <c r="F5" s="15">
        <f>'Monthly cash runway'!E5*(1+'Runway assumptions'!B6)</f>
        <v>7.320500000000002</v>
      </c>
      <c r="G5" s="15">
        <f>'Monthly cash runway'!F5*(1+'Runway assumptions'!B6)</f>
        <v>8.052550000000002</v>
      </c>
      <c r="H5" s="15">
        <f>'Monthly cash runway'!G5*(1+'Runway assumptions'!B6)</f>
        <v>8.857805000000003</v>
      </c>
      <c r="I5" s="15">
        <f>'Monthly cash runway'!H5*(1+'Runway assumptions'!B6)</f>
        <v>9.743585500000004</v>
      </c>
      <c r="J5" s="15">
        <f>'Monthly cash runway'!I5*(1+'Runway assumptions'!B6)</f>
        <v>10.717944050000005</v>
      </c>
      <c r="K5" s="15">
        <f>'Monthly cash runway'!J5*(1+'Runway assumptions'!B6)</f>
        <v>11.789738455000007</v>
      </c>
      <c r="L5" s="15">
        <f>'Monthly cash runway'!K5*(1+'Runway assumptions'!B6)</f>
        <v>12.968712300500009</v>
      </c>
      <c r="M5" s="15">
        <f>'Monthly cash runway'!L5*(1+'Runway assumptions'!B6)</f>
        <v>14.26558353055001</v>
      </c>
      <c r="N5" s="15">
        <f>'Monthly cash runway'!M5*(1+'Runway assumptions'!B6)</f>
        <v>15.692141883605013</v>
      </c>
      <c r="O5" s="15">
        <f>'Monthly cash runway'!N5*(1+'Runway assumptions'!B6)</f>
        <v>17.261356071965515</v>
      </c>
      <c r="P5" s="15">
        <f>'Monthly cash runway'!O5*(1+'Runway assumptions'!B6)</f>
        <v>18.98749167916207</v>
      </c>
      <c r="Q5" s="15">
        <f>'Monthly cash runway'!P5*(1+'Runway assumptions'!B6)</f>
        <v>20.886240847078277</v>
      </c>
      <c r="R5" s="15">
        <f>'Monthly cash runway'!Q5*(1+'Runway assumptions'!B6)</f>
        <v>22.974864931786108</v>
      </c>
      <c r="S5" s="15">
        <f>'Monthly cash runway'!R5*(1+'Runway assumptions'!B6)</f>
        <v>25.27235142496472</v>
      </c>
      <c r="T5" s="15">
        <f>'Monthly cash runway'!S5*(1+'Runway assumptions'!B6)</f>
        <v>27.799586567461198</v>
      </c>
      <c r="U5" s="15">
        <f>'Monthly cash runway'!T5*(1+'Runway assumptions'!B6)</f>
        <v>30.57954522420732</v>
      </c>
      <c r="V5" s="15">
        <f>'Monthly cash runway'!U5*(1+'Runway assumptions'!B6)</f>
        <v>33.63749974662805</v>
      </c>
      <c r="W5" s="15">
        <f>'Monthly cash runway'!V5*(1+'Runway assumptions'!B6)</f>
        <v>37.00124972129086</v>
      </c>
      <c r="X5" s="15">
        <f>'Monthly cash runway'!W5*(1+'Runway assumptions'!B6)</f>
        <v>40.70137469341995</v>
      </c>
      <c r="Y5" s="15">
        <f>'Monthly cash runway'!X5*(1+'Runway assumptions'!B6)</f>
        <v>44.77151216276195</v>
      </c>
      <c r="Z5" s="15">
        <f>'Monthly cash runway'!Y5*(1+'Runway assumptions'!B6)</f>
        <v>49.24866337903815</v>
      </c>
    </row>
    <row r="6">
      <c r="A6" t="inlineStr" s="7">
        <is>
          <t xml:space="preserve">Churned customers</t>
        </is>
      </c>
      <c r="B6" s="16">
        <v>0</v>
      </c>
      <c r="C6" s="16">
        <f>'Monthly cash runway'!B7*'Runway assumptions'!B7</f>
        <v>0.15</v>
      </c>
      <c r="D6" s="16">
        <f>'Monthly cash runway'!C7*'Runway assumptions'!B7</f>
        <v>0.3105</v>
      </c>
      <c r="E6" s="16">
        <f>'Monthly cash runway'!D7*'Runway assumptions'!B7</f>
        <v>0.4826849999999999</v>
      </c>
      <c r="F6" s="16">
        <f>'Monthly cash runway'!E7*'Runway assumptions'!B7</f>
        <v>0.6678544499999999</v>
      </c>
      <c r="G6" s="16">
        <f>'Monthly cash runway'!F7*'Runway assumptions'!B7</f>
        <v>0.8674338165</v>
      </c>
      <c r="H6" s="16">
        <f>'Monthly cash runway'!G7*'Runway assumptions'!B7</f>
        <v>1.0829873020050003</v>
      </c>
      <c r="I6" s="16">
        <f>'Monthly cash runway'!H7*'Runway assumptions'!B7</f>
        <v>1.3162318329448504</v>
      </c>
      <c r="J6" s="16">
        <f>'Monthly cash runway'!I7*'Runway assumptions'!B7</f>
        <v>1.569052442956505</v>
      </c>
      <c r="K6" s="16">
        <f>'Monthly cash runway'!J7*'Runway assumptions'!B7</f>
        <v>1.84351919116781</v>
      </c>
      <c r="L6" s="16">
        <f>'Monthly cash runway'!K7*'Runway assumptions'!B7</f>
        <v>2.1419057690827756</v>
      </c>
      <c r="M6" s="16">
        <f>'Monthly cash runway'!L7*'Runway assumptions'!B7</f>
        <v>2.4667099650252933</v>
      </c>
      <c r="N6" s="16">
        <f>'Monthly cash runway'!M7*'Runway assumptions'!B7</f>
        <v>2.8206761719910345</v>
      </c>
      <c r="O6" s="16">
        <f>'Monthly cash runway'!N7*'Runway assumptions'!B7</f>
        <v>3.206820143339454</v>
      </c>
      <c r="P6" s="16">
        <f>'Monthly cash runway'!O7*'Runway assumptions'!B7</f>
        <v>3.628456221198236</v>
      </c>
      <c r="Q6" s="16">
        <f>'Monthly cash runway'!P7*'Runway assumptions'!B7</f>
        <v>4.089227284937151</v>
      </c>
      <c r="R6" s="16">
        <f>'Monthly cash runway'!Q7*'Runway assumptions'!B7</f>
        <v>4.5931376918013855</v>
      </c>
      <c r="S6" s="16">
        <f>'Monthly cash runway'!R7*'Runway assumptions'!B7</f>
        <v>5.144589509000927</v>
      </c>
      <c r="T6" s="16">
        <f>'Monthly cash runway'!S7*'Runway assumptions'!B7</f>
        <v>5.74842236647984</v>
      </c>
      <c r="U6" s="16">
        <f>'Monthly cash runway'!T7*'Runway assumptions'!B7</f>
        <v>6.409957292509281</v>
      </c>
      <c r="V6" s="16">
        <f>'Monthly cash runway'!U7*'Runway assumptions'!B7</f>
        <v>7.135044930460222</v>
      </c>
      <c r="W6" s="16">
        <f>'Monthly cash runway'!V7*'Runway assumptions'!B7</f>
        <v>7.930118574945258</v>
      </c>
      <c r="X6" s="16">
        <f>'Monthly cash runway'!W7*'Runway assumptions'!B7</f>
        <v>8.802252509335627</v>
      </c>
      <c r="Y6" s="16">
        <f>'Monthly cash runway'!X7*'Runway assumptions'!B7</f>
        <v>9.759226174858156</v>
      </c>
      <c r="Z6" s="16">
        <f>'Monthly cash runway'!Y7*'Runway assumptions'!B7</f>
        <v>10.80959475449527</v>
      </c>
    </row>
    <row r="7">
      <c r="A7" t="inlineStr" s="17">
        <is>
          <t xml:space="preserve">Paying customers</t>
        </is>
      </c>
      <c r="B7" s="18">
        <f>5</f>
        <v>5</v>
      </c>
      <c r="C7" s="18">
        <f>'Monthly cash runway'!B7+'Monthly cash runway'!C5-'Monthly cash runway'!C6</f>
        <v>10.35</v>
      </c>
      <c r="D7" s="18">
        <f>'Monthly cash runway'!C7+'Monthly cash runway'!D5-'Monthly cash runway'!D6</f>
        <v>16.089499999999997</v>
      </c>
      <c r="E7" s="18">
        <f>'Monthly cash runway'!D7+'Monthly cash runway'!E5-'Monthly cash runway'!E6</f>
        <v>22.261815</v>
      </c>
      <c r="F7" s="18">
        <f>'Monthly cash runway'!E7+'Monthly cash runway'!F5-'Monthly cash runway'!F6</f>
        <v>28.91446055</v>
      </c>
      <c r="G7" s="18">
        <f>'Monthly cash runway'!F7+'Monthly cash runway'!G5-'Monthly cash runway'!G6</f>
        <v>36.09957673350001</v>
      </c>
      <c r="H7" s="18">
        <f>'Monthly cash runway'!G7+'Monthly cash runway'!H5-'Monthly cash runway'!H6</f>
        <v>43.87439443149501</v>
      </c>
      <c r="I7" s="18">
        <f>'Monthly cash runway'!H7+'Monthly cash runway'!I5-'Monthly cash runway'!I6</f>
        <v>52.30174809855016</v>
      </c>
      <c r="J7" s="18">
        <f>'Monthly cash runway'!I7+'Monthly cash runway'!J5-'Monthly cash runway'!J6</f>
        <v>61.450639705593666</v>
      </c>
      <c r="K7" s="18">
        <f>'Monthly cash runway'!J7+'Monthly cash runway'!K5-'Monthly cash runway'!K6</f>
        <v>71.39685896942586</v>
      </c>
      <c r="L7" s="18">
        <f>'Monthly cash runway'!K7+'Monthly cash runway'!L5-'Monthly cash runway'!L6</f>
        <v>82.22366550084311</v>
      </c>
      <c r="M7" s="18">
        <f>'Monthly cash runway'!L7+'Monthly cash runway'!M5-'Monthly cash runway'!M6</f>
        <v>94.02253906636783</v>
      </c>
      <c r="N7" s="18">
        <f>'Monthly cash runway'!M7+'Monthly cash runway'!N5-'Monthly cash runway'!N6</f>
        <v>106.8940047779818</v>
      </c>
      <c r="O7" s="18">
        <f>'Monthly cash runway'!N7+'Monthly cash runway'!O5-'Monthly cash runway'!O6</f>
        <v>120.94854070660787</v>
      </c>
      <c r="P7" s="18">
        <f>'Monthly cash runway'!O7+'Monthly cash runway'!P5-'Monthly cash runway'!P6</f>
        <v>136.3075761645717</v>
      </c>
      <c r="Q7" s="18">
        <f>'Monthly cash runway'!P7+'Monthly cash runway'!Q5-'Monthly cash runway'!Q6</f>
        <v>153.10458972671285</v>
      </c>
      <c r="R7" s="18">
        <f>'Monthly cash runway'!Q7+'Monthly cash runway'!R5-'Monthly cash runway'!R6</f>
        <v>171.48631696669756</v>
      </c>
      <c r="S7" s="18">
        <f>'Monthly cash runway'!R7+'Monthly cash runway'!S5-'Monthly cash runway'!S6</f>
        <v>191.61407888266135</v>
      </c>
      <c r="T7" s="18">
        <f>'Monthly cash runway'!S7+'Monthly cash runway'!T5-'Monthly cash runway'!T6</f>
        <v>213.6652430836427</v>
      </c>
      <c r="U7" s="18">
        <f>'Monthly cash runway'!T7+'Monthly cash runway'!U5-'Monthly cash runway'!U6</f>
        <v>237.83483101534074</v>
      </c>
      <c r="V7" s="18">
        <f>'Monthly cash runway'!U7+'Monthly cash runway'!V5-'Monthly cash runway'!V6</f>
        <v>264.3372858315086</v>
      </c>
      <c r="W7" s="18">
        <f>'Monthly cash runway'!V7+'Monthly cash runway'!W5-'Monthly cash runway'!W6</f>
        <v>293.40841697785424</v>
      </c>
      <c r="X7" s="18">
        <f>'Monthly cash runway'!W7+'Monthly cash runway'!X5-'Monthly cash runway'!X6</f>
        <v>325.30753916193856</v>
      </c>
      <c r="Y7" s="18">
        <f>'Monthly cash runway'!X7+'Monthly cash runway'!Y5-'Monthly cash runway'!Y6</f>
        <v>360.31982514984236</v>
      </c>
      <c r="Z7" s="18">
        <f>'Monthly cash runway'!Y7+'Monthly cash runway'!Z5-'Monthly cash runway'!Z6</f>
        <v>398.75889377438523</v>
      </c>
    </row>
    <row r="8">
      <c r="A8" t="inlineStr" s="7">
        <is>
          <t xml:space="preserve">Monthly revenue</t>
        </is>
      </c>
      <c r="B8" s="19">
        <v>0</v>
      </c>
      <c r="C8" s="19">
        <f>'Monthly cash runway'!C7*SUM('Plan mix'!E5,'Plan mix'!E6,'Plan mix'!E7,'Plan mix'!E8)</f>
        <v>1024.6499999999999</v>
      </c>
      <c r="D8" s="19">
        <f>'Monthly cash runway'!D7*SUM('Plan mix'!E5,'Plan mix'!E6,'Plan mix'!E7,'Plan mix'!E8)</f>
        <v>1592.8604999999998</v>
      </c>
      <c r="E8" s="19">
        <f>'Monthly cash runway'!E7*SUM('Plan mix'!E5,'Plan mix'!E6,'Plan mix'!E7,'Plan mix'!E8)</f>
        <v>2203.919685</v>
      </c>
      <c r="F8" s="19">
        <f>'Monthly cash runway'!F7*SUM('Plan mix'!E5,'Plan mix'!E6,'Plan mix'!E7,'Plan mix'!E8)</f>
        <v>2862.5315944500003</v>
      </c>
      <c r="G8" s="19">
        <f>'Monthly cash runway'!G7*SUM('Plan mix'!E5,'Plan mix'!E6,'Plan mix'!E7,'Plan mix'!E8)</f>
        <v>3573.858096616501</v>
      </c>
      <c r="H8" s="19">
        <f>'Monthly cash runway'!H7*SUM('Plan mix'!E5,'Plan mix'!E6,'Plan mix'!E7,'Plan mix'!E8)</f>
        <v>4343.565048718006</v>
      </c>
      <c r="I8" s="19">
        <f>'Monthly cash runway'!I7*SUM('Plan mix'!E5,'Plan mix'!E6,'Plan mix'!E7,'Plan mix'!E8)</f>
        <v>5177.873061756466</v>
      </c>
      <c r="J8" s="19">
        <f>'Monthly cash runway'!J7*SUM('Plan mix'!E5,'Plan mix'!E6,'Plan mix'!E7,'Plan mix'!E8)</f>
        <v>6083.613330853773</v>
      </c>
      <c r="K8" s="19">
        <f>'Monthly cash runway'!K7*SUM('Plan mix'!E5,'Plan mix'!E6,'Plan mix'!E7,'Plan mix'!E8)</f>
        <v>7068.289037973161</v>
      </c>
      <c r="L8" s="19">
        <f>'Monthly cash runway'!L7*SUM('Plan mix'!E5,'Plan mix'!E6,'Plan mix'!E7,'Plan mix'!E8)</f>
        <v>8140.142884583468</v>
      </c>
      <c r="M8" s="19">
        <f>'Monthly cash runway'!M7*SUM('Plan mix'!E5,'Plan mix'!E6,'Plan mix'!E7,'Plan mix'!E8)</f>
        <v>9308.231367570415</v>
      </c>
      <c r="N8" s="19">
        <f>'Monthly cash runway'!N7*SUM('Plan mix'!E5,'Plan mix'!E6,'Plan mix'!E7,'Plan mix'!E8)</f>
        <v>10582.5064730202</v>
      </c>
      <c r="O8" s="19">
        <f>'Monthly cash runway'!O7*SUM('Plan mix'!E5,'Plan mix'!E6,'Plan mix'!E7,'Plan mix'!E8)</f>
        <v>11973.90552995418</v>
      </c>
      <c r="P8" s="19">
        <f>'Monthly cash runway'!P7*SUM('Plan mix'!E5,'Plan mix'!E6,'Plan mix'!E7,'Plan mix'!E8)</f>
        <v>13494.4500402926</v>
      </c>
      <c r="Q8" s="19">
        <f>'Monthly cash runway'!Q7*SUM('Plan mix'!E5,'Plan mix'!E6,'Plan mix'!E7,'Plan mix'!E8)</f>
        <v>15157.354382944572</v>
      </c>
      <c r="R8" s="19">
        <f>'Monthly cash runway'!R7*SUM('Plan mix'!E5,'Plan mix'!E6,'Plan mix'!E7,'Plan mix'!E8)</f>
        <v>16977.14537970306</v>
      </c>
      <c r="S8" s="19">
        <f>'Monthly cash runway'!S7*SUM('Plan mix'!E5,'Plan mix'!E6,'Plan mix'!E7,'Plan mix'!E8)</f>
        <v>18969.793809383475</v>
      </c>
      <c r="T8" s="19">
        <f>'Monthly cash runway'!T7*SUM('Plan mix'!E5,'Plan mix'!E6,'Plan mix'!E7,'Plan mix'!E8)</f>
        <v>21152.859065280627</v>
      </c>
      <c r="U8" s="19">
        <f>'Monthly cash runway'!U7*SUM('Plan mix'!E5,'Plan mix'!E6,'Plan mix'!E7,'Plan mix'!E8)</f>
        <v>23545.648270518734</v>
      </c>
      <c r="V8" s="19">
        <f>'Monthly cash runway'!V7*SUM('Plan mix'!E5,'Plan mix'!E6,'Plan mix'!E7,'Plan mix'!E8)</f>
        <v>26169.39129731935</v>
      </c>
      <c r="W8" s="19">
        <f>'Monthly cash runway'!W7*SUM('Plan mix'!E5,'Plan mix'!E6,'Plan mix'!E7,'Plan mix'!E8)</f>
        <v>29047.43328080757</v>
      </c>
      <c r="X8" s="19">
        <f>'Monthly cash runway'!X7*SUM('Plan mix'!E5,'Plan mix'!E6,'Plan mix'!E7,'Plan mix'!E8)</f>
        <v>32205.446377031916</v>
      </c>
      <c r="Y8" s="19">
        <f>'Monthly cash runway'!Y7*SUM('Plan mix'!E5,'Plan mix'!E6,'Plan mix'!E7,'Plan mix'!E8)</f>
        <v>35671.6626898344</v>
      </c>
      <c r="Z8" s="19">
        <f>'Monthly cash runway'!Z7*SUM('Plan mix'!E5,'Plan mix'!E6,'Plan mix'!E7,'Plan mix'!E8)</f>
        <v>39477.130483664136</v>
      </c>
    </row>
    <row r="9">
      <c r="A9" t="inlineStr" s="7">
        <is>
          <t xml:space="preserve">Monthly gross profit</t>
        </is>
      </c>
      <c r="B9" s="19">
        <v>0</v>
      </c>
      <c r="C9" s="19">
        <f>'Monthly cash runway'!C7*SUM('Plan mix'!F5,'Plan mix'!F6,'Plan mix'!F7,'Plan mix'!F8)</f>
        <v>991.8301499999999</v>
      </c>
      <c r="D9" s="19">
        <f>'Monthly cash runway'!D7*SUM('Plan mix'!F5,'Plan mix'!F6,'Plan mix'!F7,'Plan mix'!F8)</f>
        <v>1541.8406954999996</v>
      </c>
      <c r="E9" s="19">
        <f>'Monthly cash runway'!E7*SUM('Plan mix'!F5,'Plan mix'!F6,'Plan mix'!F7,'Plan mix'!F8)</f>
        <v>2133.327469635</v>
      </c>
      <c r="F9" s="19">
        <f>'Monthly cash runway'!F7*SUM('Plan mix'!F5,'Plan mix'!F6,'Plan mix'!F7,'Plan mix'!F8)</f>
        <v>2770.84384004595</v>
      </c>
      <c r="G9" s="19">
        <f>'Monthly cash runway'!G7*SUM('Plan mix'!F5,'Plan mix'!F6,'Plan mix'!F7,'Plan mix'!F8)</f>
        <v>3459.386338794572</v>
      </c>
      <c r="H9" s="19">
        <f>'Monthly cash runway'!H7*SUM('Plan mix'!F5,'Plan mix'!F6,'Plan mix'!F7,'Plan mix'!F8)</f>
        <v>4204.439343975735</v>
      </c>
      <c r="I9" s="19">
        <f>'Monthly cash runway'!I7*SUM('Plan mix'!F5,'Plan mix'!F6,'Plan mix'!F7,'Plan mix'!F8)</f>
        <v>5012.024218535963</v>
      </c>
      <c r="J9" s="19">
        <f>'Monthly cash runway'!J7*SUM('Plan mix'!F5,'Plan mix'!F6,'Plan mix'!F7,'Plan mix'!F8)</f>
        <v>5888.753352347335</v>
      </c>
      <c r="K9" s="19">
        <f>'Monthly cash runway'!K7*SUM('Plan mix'!F5,'Plan mix'!F6,'Plan mix'!F7,'Plan mix'!F8)</f>
        <v>6841.889598181111</v>
      </c>
      <c r="L9" s="19">
        <f>'Monthly cash runway'!L7*SUM('Plan mix'!F5,'Plan mix'!F6,'Plan mix'!F7,'Plan mix'!F8)</f>
        <v>7879.411641280294</v>
      </c>
      <c r="M9" s="19">
        <f>'Monthly cash runway'!M7*SUM('Plan mix'!F5,'Plan mix'!F6,'Plan mix'!F7,'Plan mix'!F8)</f>
        <v>9010.085896190962</v>
      </c>
      <c r="N9" s="19">
        <f>'Monthly cash runway'!N7*SUM('Plan mix'!F5,'Plan mix'!F6,'Plan mix'!F7,'Plan mix'!F8)</f>
        <v>10243.545583869218</v>
      </c>
      <c r="O9" s="19">
        <f>'Monthly cash runway'!O7*SUM('Plan mix'!F5,'Plan mix'!F6,'Plan mix'!F7,'Plan mix'!F8)</f>
        <v>11590.377707373525</v>
      </c>
      <c r="P9" s="19">
        <f>'Monthly cash runway'!P7*SUM('Plan mix'!F5,'Plan mix'!F6,'Plan mix'!F7,'Plan mix'!F8)</f>
        <v>13062.218716274741</v>
      </c>
      <c r="Q9" s="19">
        <f>'Monthly cash runway'!Q7*SUM('Plan mix'!F5,'Plan mix'!F6,'Plan mix'!F7,'Plan mix'!F8)</f>
        <v>14671.859728921165</v>
      </c>
      <c r="R9" s="19">
        <f>'Monthly cash runway'!R7*SUM('Plan mix'!F5,'Plan mix'!F6,'Plan mix'!F7,'Plan mix'!F8)</f>
        <v>16433.36226860166</v>
      </c>
      <c r="S9" s="19">
        <f>'Monthly cash runway'!S7*SUM('Plan mix'!F5,'Plan mix'!F6,'Plan mix'!F7,'Plan mix'!F8)</f>
        <v>18362.185565246553</v>
      </c>
      <c r="T9" s="19">
        <f>'Monthly cash runway'!T7*SUM('Plan mix'!F5,'Plan mix'!F6,'Plan mix'!F7,'Plan mix'!F8)</f>
        <v>20475.326579462395</v>
      </c>
      <c r="U9" s="19">
        <f>'Monthly cash runway'!U7*SUM('Plan mix'!F5,'Plan mix'!F6,'Plan mix'!F7,'Plan mix'!F8)</f>
        <v>22791.474021369086</v>
      </c>
      <c r="V9" s="19">
        <f>'Monthly cash runway'!V7*SUM('Plan mix'!F5,'Plan mix'!F6,'Plan mix'!F7,'Plan mix'!F8)</f>
        <v>25331.17776394764</v>
      </c>
      <c r="W9" s="19">
        <f>'Monthly cash runway'!W7*SUM('Plan mix'!F5,'Plan mix'!F6,'Plan mix'!F7,'Plan mix'!F8)</f>
        <v>28117.035190570794</v>
      </c>
      <c r="X9" s="19">
        <f>'Monthly cash runway'!X7*SUM('Plan mix'!F5,'Plan mix'!F6,'Plan mix'!F7,'Plan mix'!F8)</f>
        <v>31173.89617034941</v>
      </c>
      <c r="Y9" s="19">
        <f>'Monthly cash runway'!Y7*SUM('Plan mix'!F5,'Plan mix'!F6,'Plan mix'!F7,'Plan mix'!F8)</f>
        <v>34529.08852428424</v>
      </c>
      <c r="Z9" s="19">
        <f>'Monthly cash runway'!Z7*SUM('Plan mix'!F5,'Plan mix'!F6,'Plan mix'!F7,'Plan mix'!F8)</f>
        <v>38212.666031505556</v>
      </c>
    </row>
    <row r="10">
      <c r="A10" t="inlineStr" s="7">
        <is>
          <t xml:space="preserve">Fixed costs</t>
        </is>
      </c>
      <c r="B10" s="19">
        <v>0</v>
      </c>
      <c r="C10" s="19">
        <f>IF('Model inputs'!B19="","",'Model inputs'!B19)</f>
        <v>10500</v>
      </c>
      <c r="D10" s="19">
        <f>IF('Model inputs'!B19="","",'Model inputs'!B19)</f>
        <v>10500</v>
      </c>
      <c r="E10" s="19">
        <f>IF('Model inputs'!B19="","",'Model inputs'!B19)</f>
        <v>10500</v>
      </c>
      <c r="F10" s="19">
        <f>IF('Model inputs'!B19="","",'Model inputs'!B19)</f>
        <v>10500</v>
      </c>
      <c r="G10" s="19">
        <f>IF('Model inputs'!B19="","",'Model inputs'!B19)</f>
        <v>10500</v>
      </c>
      <c r="H10" s="19">
        <f>IF('Model inputs'!B19="","",'Model inputs'!B19)</f>
        <v>10500</v>
      </c>
      <c r="I10" s="19">
        <f>IF('Model inputs'!B19="","",'Model inputs'!B19)</f>
        <v>10500</v>
      </c>
      <c r="J10" s="19">
        <f>IF('Model inputs'!B19="","",'Model inputs'!B19)</f>
        <v>10500</v>
      </c>
      <c r="K10" s="19">
        <f>IF('Model inputs'!B19="","",'Model inputs'!B19)</f>
        <v>10500</v>
      </c>
      <c r="L10" s="19">
        <f>IF('Model inputs'!B19="","",'Model inputs'!B19)</f>
        <v>10500</v>
      </c>
      <c r="M10" s="19">
        <f>IF('Model inputs'!B19="","",'Model inputs'!B19)</f>
        <v>10500</v>
      </c>
      <c r="N10" s="19">
        <f>IF('Model inputs'!B19="","",'Model inputs'!B19)</f>
        <v>10500</v>
      </c>
      <c r="O10" s="19">
        <f>IF('Model inputs'!B19="","",'Model inputs'!B19)</f>
        <v>10500</v>
      </c>
      <c r="P10" s="19">
        <f>IF('Model inputs'!B19="","",'Model inputs'!B19)</f>
        <v>10500</v>
      </c>
      <c r="Q10" s="19">
        <f>IF('Model inputs'!B19="","",'Model inputs'!B19)</f>
        <v>10500</v>
      </c>
      <c r="R10" s="19">
        <f>IF('Model inputs'!B19="","",'Model inputs'!B19)</f>
        <v>10500</v>
      </c>
      <c r="S10" s="19">
        <f>IF('Model inputs'!B19="","",'Model inputs'!B19)</f>
        <v>10500</v>
      </c>
      <c r="T10" s="19">
        <f>IF('Model inputs'!B19="","",'Model inputs'!B19)</f>
        <v>10500</v>
      </c>
      <c r="U10" s="19">
        <f>IF('Model inputs'!B19="","",'Model inputs'!B19)</f>
        <v>10500</v>
      </c>
      <c r="V10" s="19">
        <f>IF('Model inputs'!B19="","",'Model inputs'!B19)</f>
        <v>10500</v>
      </c>
      <c r="W10" s="19">
        <f>IF('Model inputs'!B19="","",'Model inputs'!B19)</f>
        <v>10500</v>
      </c>
      <c r="X10" s="19">
        <f>IF('Model inputs'!B19="","",'Model inputs'!B19)</f>
        <v>10500</v>
      </c>
      <c r="Y10" s="19">
        <f>IF('Model inputs'!B19="","",'Model inputs'!B19)</f>
        <v>10500</v>
      </c>
      <c r="Z10" s="19">
        <f>IF('Model inputs'!B19="","",'Model inputs'!B19)</f>
        <v>10500</v>
      </c>
    </row>
    <row r="11">
      <c r="A11" t="inlineStr" s="17">
        <is>
          <t xml:space="preserve">Net cash flow</t>
        </is>
      </c>
      <c r="B11" s="20">
        <v>0</v>
      </c>
      <c r="C11" s="20">
        <f>'Monthly cash runway'!C9-'Monthly cash runway'!C10</f>
        <v>-9508.16985</v>
      </c>
      <c r="D11" s="20">
        <f>'Monthly cash runway'!D9-'Monthly cash runway'!D10</f>
        <v>-8958.1593045</v>
      </c>
      <c r="E11" s="20">
        <f>'Monthly cash runway'!E9-'Monthly cash runway'!E10</f>
        <v>-8366.672530365</v>
      </c>
      <c r="F11" s="20">
        <f>'Monthly cash runway'!F9-'Monthly cash runway'!F10</f>
        <v>-7729.15615995405</v>
      </c>
      <c r="G11" s="20">
        <f>'Monthly cash runway'!G9-'Monthly cash runway'!G10</f>
        <v>-7040.613661205428</v>
      </c>
      <c r="H11" s="20">
        <f>'Monthly cash runway'!H9-'Monthly cash runway'!H10</f>
        <v>-6295.560656024265</v>
      </c>
      <c r="I11" s="20">
        <f>'Monthly cash runway'!I9-'Monthly cash runway'!I10</f>
        <v>-5487.975781464037</v>
      </c>
      <c r="J11" s="20">
        <f>'Monthly cash runway'!J9-'Monthly cash runway'!J10</f>
        <v>-4611.246647652665</v>
      </c>
      <c r="K11" s="20">
        <f>'Monthly cash runway'!K9-'Monthly cash runway'!K10</f>
        <v>-3658.110401818889</v>
      </c>
      <c r="L11" s="20">
        <f>'Monthly cash runway'!L9-'Monthly cash runway'!L10</f>
        <v>-2620.588358719706</v>
      </c>
      <c r="M11" s="20">
        <f>'Monthly cash runway'!M9-'Monthly cash runway'!M10</f>
        <v>-1489.9141038090384</v>
      </c>
      <c r="N11" s="20">
        <f>'Monthly cash runway'!N9-'Monthly cash runway'!N10</f>
        <v>-256.4544161307822</v>
      </c>
      <c r="O11" s="20">
        <f>'Monthly cash runway'!O9-'Monthly cash runway'!O10</f>
        <v>1090.3777073735255</v>
      </c>
      <c r="P11" s="20">
        <f>'Monthly cash runway'!P9-'Monthly cash runway'!P10</f>
        <v>2562.2187162747414</v>
      </c>
      <c r="Q11" s="20">
        <f>'Monthly cash runway'!Q9-'Monthly cash runway'!Q10</f>
        <v>4171.859728921165</v>
      </c>
      <c r="R11" s="20">
        <f>'Monthly cash runway'!R9-'Monthly cash runway'!R10</f>
        <v>5933.362268601661</v>
      </c>
      <c r="S11" s="20">
        <f>'Monthly cash runway'!S9-'Monthly cash runway'!S10</f>
        <v>7862.185565246553</v>
      </c>
      <c r="T11" s="20">
        <f>'Monthly cash runway'!T9-'Monthly cash runway'!T10</f>
        <v>9975.326579462395</v>
      </c>
      <c r="U11" s="20">
        <f>'Monthly cash runway'!U9-'Monthly cash runway'!U10</f>
        <v>12291.474021369086</v>
      </c>
      <c r="V11" s="20">
        <f>'Monthly cash runway'!V9-'Monthly cash runway'!V10</f>
        <v>14831.177763947639</v>
      </c>
      <c r="W11" s="20">
        <f>'Monthly cash runway'!W9-'Monthly cash runway'!W10</f>
        <v>17617.035190570794</v>
      </c>
      <c r="X11" s="20">
        <f>'Monthly cash runway'!X9-'Monthly cash runway'!X10</f>
        <v>20673.89617034941</v>
      </c>
      <c r="Y11" s="20">
        <f>'Monthly cash runway'!Y9-'Monthly cash runway'!Y10</f>
        <v>24029.08852428424</v>
      </c>
      <c r="Z11" s="20">
        <f>'Monthly cash runway'!Z9-'Monthly cash runway'!Z10</f>
        <v>27712.666031505556</v>
      </c>
    </row>
    <row r="12">
      <c r="A12" t="inlineStr" s="17">
        <is>
          <t xml:space="preserve">Cash balance</t>
        </is>
      </c>
      <c r="B12" s="20">
        <f>100000</f>
        <v>100000</v>
      </c>
      <c r="C12" s="20">
        <f>'Monthly cash runway'!B12+'Monthly cash runway'!C11</f>
        <v>90491.83015</v>
      </c>
      <c r="D12" s="20">
        <f>'Monthly cash runway'!C12+'Monthly cash runway'!D11</f>
        <v>81533.67084549999</v>
      </c>
      <c r="E12" s="20">
        <f>'Monthly cash runway'!D12+'Monthly cash runway'!E11</f>
        <v>73166.99831513499</v>
      </c>
      <c r="F12" s="20">
        <f>'Monthly cash runway'!E12+'Monthly cash runway'!F11</f>
        <v>65437.84215518094</v>
      </c>
      <c r="G12" s="20">
        <f>'Monthly cash runway'!F12+'Monthly cash runway'!G11</f>
        <v>58397.22849397551</v>
      </c>
      <c r="H12" s="20">
        <f>'Monthly cash runway'!G12+'Monthly cash runway'!H11</f>
        <v>52101.667837951245</v>
      </c>
      <c r="I12" s="20">
        <f>'Monthly cash runway'!H12+'Monthly cash runway'!I11</f>
        <v>46613.692056487205</v>
      </c>
      <c r="J12" s="20">
        <f>'Monthly cash runway'!I12+'Monthly cash runway'!J11</f>
        <v>42002.44540883454</v>
      </c>
      <c r="K12" s="20">
        <f>'Monthly cash runway'!J12+'Monthly cash runway'!K11</f>
        <v>38344.335007015645</v>
      </c>
      <c r="L12" s="20">
        <f>'Monthly cash runway'!K12+'Monthly cash runway'!L11</f>
        <v>35723.74664829594</v>
      </c>
      <c r="M12" s="20">
        <f>'Monthly cash runway'!L12+'Monthly cash runway'!M11</f>
        <v>34233.832544486904</v>
      </c>
      <c r="N12" s="20">
        <f>'Monthly cash runway'!M12+'Monthly cash runway'!N11</f>
        <v>33977.378128356126</v>
      </c>
      <c r="O12" s="20">
        <f>'Monthly cash runway'!N12+'Monthly cash runway'!O11</f>
        <v>35067.75583572965</v>
      </c>
      <c r="P12" s="20">
        <f>'Monthly cash runway'!O12+'Monthly cash runway'!P11</f>
        <v>37629.974552004394</v>
      </c>
      <c r="Q12" s="20">
        <f>'Monthly cash runway'!P12+'Monthly cash runway'!Q11</f>
        <v>41801.834280925556</v>
      </c>
      <c r="R12" s="20">
        <f>'Monthly cash runway'!Q12+'Monthly cash runway'!R11</f>
        <v>47735.196549527216</v>
      </c>
      <c r="S12" s="20">
        <f>'Monthly cash runway'!R12+'Monthly cash runway'!S11</f>
        <v>55597.38211477377</v>
      </c>
      <c r="T12" s="20">
        <f>'Monthly cash runway'!S12+'Monthly cash runway'!T11</f>
        <v>65572.70869423616</v>
      </c>
      <c r="U12" s="20">
        <f>'Monthly cash runway'!T12+'Monthly cash runway'!U11</f>
        <v>77864.18271560525</v>
      </c>
      <c r="V12" s="20">
        <f>'Monthly cash runway'!U12+'Monthly cash runway'!V11</f>
        <v>92695.36047955288</v>
      </c>
      <c r="W12" s="20">
        <f>'Monthly cash runway'!V12+'Monthly cash runway'!W11</f>
        <v>110312.39567012367</v>
      </c>
      <c r="X12" s="20">
        <f>'Monthly cash runway'!W12+'Monthly cash runway'!X11</f>
        <v>130986.29184047309</v>
      </c>
      <c r="Y12" s="20">
        <f>'Monthly cash runway'!X12+'Monthly cash runway'!Y11</f>
        <v>155015.38036475732</v>
      </c>
      <c r="Z12" s="20">
        <f>'Monthly cash runway'!Y12+'Monthly cash runway'!Z11</f>
        <v>182728.0463962629</v>
      </c>
    </row>
    <row r="13">
      <c r="A13" t="inlineStr" s="5">
        <is>
          <t xml:space="preserve">Months of runway left</t>
        </is>
      </c>
      <c r="B13" s="15">
        <v>0</v>
      </c>
      <c r="C13" s="15">
        <f>IF(IF(IF(ISERROR('Monthly cash runway'!C11&lt;0),'Monthly cash runway'!C11&lt;0,IF('Monthly cash runway'!C11="","",'Monthly cash runway'!C11&lt;0))="",FALSE,IF(ISERROR('Monthly cash runway'!C11&lt;0),'Monthly cash runway'!C11&lt;0,IF('Monthly cash runway'!C11="","",'Monthly cash runway'!C11&lt;0))),'Monthly cash runway'!C12/(0-'Monthly cash runway'!C11),"")</f>
        <v>9.517271102387806</v>
      </c>
      <c r="D13" s="15">
        <f>IF(IF(IF(ISERROR('Monthly cash runway'!D11&lt;0),'Monthly cash runway'!D11&lt;0,IF('Monthly cash runway'!D11="","",'Monthly cash runway'!D11&lt;0))="",FALSE,IF(ISERROR('Monthly cash runway'!D11&lt;0),'Monthly cash runway'!D11&lt;0,IF('Monthly cash runway'!D11="","",'Monthly cash runway'!D11&lt;0))),'Monthly cash runway'!D12/(0-'Monthly cash runway'!D11),"")</f>
        <v>9.101609836804615</v>
      </c>
      <c r="E13" s="15">
        <f>IF(IF(IF(ISERROR('Monthly cash runway'!E11&lt;0),'Monthly cash runway'!E11&lt;0,IF('Monthly cash runway'!E11="","",'Monthly cash runway'!E11&lt;0))="",FALSE,IF(ISERROR('Monthly cash runway'!E11&lt;0),'Monthly cash runway'!E11&lt;0,IF('Monthly cash runway'!E11="","",'Monthly cash runway'!E11&lt;0))),'Monthly cash runway'!E12/(0-'Monthly cash runway'!E11),"")</f>
        <v>8.745053430690808</v>
      </c>
      <c r="F13" s="15">
        <f>IF(IF(IF(ISERROR('Monthly cash runway'!F11&lt;0),'Monthly cash runway'!F11&lt;0,IF('Monthly cash runway'!F11="","",'Monthly cash runway'!F11&lt;0))="",FALSE,IF(ISERROR('Monthly cash runway'!F11&lt;0),'Monthly cash runway'!F11&lt;0,IF('Monthly cash runway'!F11="","",'Monthly cash runway'!F11&lt;0))),'Monthly cash runway'!F12/(0-'Monthly cash runway'!F11),"")</f>
        <v>8.466363054510982</v>
      </c>
      <c r="G13" s="15">
        <f>IF(IF(IF(ISERROR('Monthly cash runway'!G11&lt;0),'Monthly cash runway'!G11&lt;0,IF('Monthly cash runway'!G11="","",'Monthly cash runway'!G11&lt;0))="",FALSE,IF(ISERROR('Monthly cash runway'!G11&lt;0),'Monthly cash runway'!G11&lt;0,IF('Monthly cash runway'!G11="","",'Monthly cash runway'!G11&lt;0))),'Monthly cash runway'!G12/(0-'Monthly cash runway'!G11),"")</f>
        <v>8.294337866562797</v>
      </c>
      <c r="H13" s="15">
        <f>IF(IF(IF(ISERROR('Monthly cash runway'!H11&lt;0),'Monthly cash runway'!H11&lt;0,IF('Monthly cash runway'!H11="","",'Monthly cash runway'!H11&lt;0))="",FALSE,IF(ISERROR('Monthly cash runway'!H11&lt;0),'Monthly cash runway'!H11&lt;0,IF('Monthly cash runway'!H11="","",'Monthly cash runway'!H11&lt;0))),'Monthly cash runway'!H12/(0-'Monthly cash runway'!H11),"")</f>
        <v>8.275937709867794</v>
      </c>
      <c r="I13" s="15">
        <f>IF(IF(IF(ISERROR('Monthly cash runway'!I11&lt;0),'Monthly cash runway'!I11&lt;0,IF('Monthly cash runway'!I11="","",'Monthly cash runway'!I11&lt;0))="",FALSE,IF(ISERROR('Monthly cash runway'!I11&lt;0),'Monthly cash runway'!I11&lt;0,IF('Monthly cash runway'!I11="","",'Monthly cash runway'!I11&lt;0))),'Monthly cash runway'!I12/(0-'Monthly cash runway'!I11),"")</f>
        <v>8.493786035632247</v>
      </c>
      <c r="J13" s="15">
        <f>IF(IF(IF(ISERROR('Monthly cash runway'!J11&lt;0),'Monthly cash runway'!J11&lt;0,IF('Monthly cash runway'!J11="","",'Monthly cash runway'!J11&lt;0))="",FALSE,IF(ISERROR('Monthly cash runway'!J11&lt;0),'Monthly cash runway'!J11&lt;0,IF('Monthly cash runway'!J11="","",'Monthly cash runway'!J11&lt;0))),'Monthly cash runway'!J12/(0-'Monthly cash runway'!J11),"")</f>
        <v>9.108696328403013</v>
      </c>
      <c r="K13" s="15">
        <f>IF(IF(IF(ISERROR('Monthly cash runway'!K11&lt;0),'Monthly cash runway'!K11&lt;0,IF('Monthly cash runway'!K11="","",'Monthly cash runway'!K11&lt;0))="",FALSE,IF(ISERROR('Monthly cash runway'!K11&lt;0),'Monthly cash runway'!K11&lt;0,IF('Monthly cash runway'!K11="","",'Monthly cash runway'!K11&lt;0))),'Monthly cash runway'!K12/(0-'Monthly cash runway'!K11),"")</f>
        <v>10.482005952567762</v>
      </c>
      <c r="L13" s="15">
        <f>IF(IF(IF(ISERROR('Monthly cash runway'!L11&lt;0),'Monthly cash runway'!L11&lt;0,IF('Monthly cash runway'!L11="","",'Monthly cash runway'!L11&lt;0))="",FALSE,IF(ISERROR('Monthly cash runway'!L11&lt;0),'Monthly cash runway'!L11&lt;0,IF('Monthly cash runway'!L11="","",'Monthly cash runway'!L11&lt;0))),'Monthly cash runway'!L12/(0-'Monthly cash runway'!L11),"")</f>
        <v>13.631956552592204</v>
      </c>
      <c r="M13" s="15">
        <f>IF(IF(IF(ISERROR('Monthly cash runway'!M11&lt;0),'Monthly cash runway'!M11&lt;0,IF('Monthly cash runway'!M11="","",'Monthly cash runway'!M11&lt;0))="",FALSE,IF(ISERROR('Monthly cash runway'!M11&lt;0),'Monthly cash runway'!M11&lt;0,IF('Monthly cash runway'!M11="","",'Monthly cash runway'!M11&lt;0))),'Monthly cash runway'!M12/(0-'Monthly cash runway'!M11),"")</f>
        <v>22.977051131314507</v>
      </c>
      <c r="N13" s="15">
        <f>IF(IF(IF(ISERROR('Monthly cash runway'!N11&lt;0),'Monthly cash runway'!N11&lt;0,IF('Monthly cash runway'!N11="","",'Monthly cash runway'!N11&lt;0))="",FALSE,IF(ISERROR('Monthly cash runway'!N11&lt;0),'Monthly cash runway'!N11&lt;0,IF('Monthly cash runway'!N11="","",'Monthly cash runway'!N11&lt;0))),'Monthly cash runway'!N12/(0-'Monthly cash runway'!N11),"")</f>
        <v>132.4889570668533</v>
      </c>
      <c r="O13" t="str" s="15">
        <f>IF(IF(IF(ISERROR('Monthly cash runway'!O11&lt;0),'Monthly cash runway'!O11&lt;0,IF('Monthly cash runway'!O11="","",'Monthly cash runway'!O11&lt;0))="",FALSE,IF(ISERROR('Monthly cash runway'!O11&lt;0),'Monthly cash runway'!O11&lt;0,IF('Monthly cash runway'!O11="","",'Monthly cash runway'!O11&lt;0))),'Monthly cash runway'!O12/(0-'Monthly cash runway'!O11),"")</f>
        <v/>
      </c>
      <c r="P13" t="str" s="15">
        <f>IF(IF(IF(ISERROR('Monthly cash runway'!P11&lt;0),'Monthly cash runway'!P11&lt;0,IF('Monthly cash runway'!P11="","",'Monthly cash runway'!P11&lt;0))="",FALSE,IF(ISERROR('Monthly cash runway'!P11&lt;0),'Monthly cash runway'!P11&lt;0,IF('Monthly cash runway'!P11="","",'Monthly cash runway'!P11&lt;0))),'Monthly cash runway'!P12/(0-'Monthly cash runway'!P11),"")</f>
        <v/>
      </c>
      <c r="Q13" t="str" s="15">
        <f>IF(IF(IF(ISERROR('Monthly cash runway'!Q11&lt;0),'Monthly cash runway'!Q11&lt;0,IF('Monthly cash runway'!Q11="","",'Monthly cash runway'!Q11&lt;0))="",FALSE,IF(ISERROR('Monthly cash runway'!Q11&lt;0),'Monthly cash runway'!Q11&lt;0,IF('Monthly cash runway'!Q11="","",'Monthly cash runway'!Q11&lt;0))),'Monthly cash runway'!Q12/(0-'Monthly cash runway'!Q11),"")</f>
        <v/>
      </c>
      <c r="R13" t="str" s="15">
        <f>IF(IF(IF(ISERROR('Monthly cash runway'!R11&lt;0),'Monthly cash runway'!R11&lt;0,IF('Monthly cash runway'!R11="","",'Monthly cash runway'!R11&lt;0))="",FALSE,IF(ISERROR('Monthly cash runway'!R11&lt;0),'Monthly cash runway'!R11&lt;0,IF('Monthly cash runway'!R11="","",'Monthly cash runway'!R11&lt;0))),'Monthly cash runway'!R12/(0-'Monthly cash runway'!R11),"")</f>
        <v/>
      </c>
      <c r="S13" t="str" s="15">
        <f>IF(IF(IF(ISERROR('Monthly cash runway'!S11&lt;0),'Monthly cash runway'!S11&lt;0,IF('Monthly cash runway'!S11="","",'Monthly cash runway'!S11&lt;0))="",FALSE,IF(ISERROR('Monthly cash runway'!S11&lt;0),'Monthly cash runway'!S11&lt;0,IF('Monthly cash runway'!S11="","",'Monthly cash runway'!S11&lt;0))),'Monthly cash runway'!S12/(0-'Monthly cash runway'!S11),"")</f>
        <v/>
      </c>
      <c r="T13" t="str" s="15">
        <f>IF(IF(IF(ISERROR('Monthly cash runway'!T11&lt;0),'Monthly cash runway'!T11&lt;0,IF('Monthly cash runway'!T11="","",'Monthly cash runway'!T11&lt;0))="",FALSE,IF(ISERROR('Monthly cash runway'!T11&lt;0),'Monthly cash runway'!T11&lt;0,IF('Monthly cash runway'!T11="","",'Monthly cash runway'!T11&lt;0))),'Monthly cash runway'!T12/(0-'Monthly cash runway'!T11),"")</f>
        <v/>
      </c>
      <c r="U13" t="str" s="15">
        <f>IF(IF(IF(ISERROR('Monthly cash runway'!U11&lt;0),'Monthly cash runway'!U11&lt;0,IF('Monthly cash runway'!U11="","",'Monthly cash runway'!U11&lt;0))="",FALSE,IF(ISERROR('Monthly cash runway'!U11&lt;0),'Monthly cash runway'!U11&lt;0,IF('Monthly cash runway'!U11="","",'Monthly cash runway'!U11&lt;0))),'Monthly cash runway'!U12/(0-'Monthly cash runway'!U11),"")</f>
        <v/>
      </c>
      <c r="V13" t="str" s="15">
        <f>IF(IF(IF(ISERROR('Monthly cash runway'!V11&lt;0),'Monthly cash runway'!V11&lt;0,IF('Monthly cash runway'!V11="","",'Monthly cash runway'!V11&lt;0))="",FALSE,IF(ISERROR('Monthly cash runway'!V11&lt;0),'Monthly cash runway'!V11&lt;0,IF('Monthly cash runway'!V11="","",'Monthly cash runway'!V11&lt;0))),'Monthly cash runway'!V12/(0-'Monthly cash runway'!V11),"")</f>
        <v/>
      </c>
      <c r="W13" t="str" s="15">
        <f>IF(IF(IF(ISERROR('Monthly cash runway'!W11&lt;0),'Monthly cash runway'!W11&lt;0,IF('Monthly cash runway'!W11="","",'Monthly cash runway'!W11&lt;0))="",FALSE,IF(ISERROR('Monthly cash runway'!W11&lt;0),'Monthly cash runway'!W11&lt;0,IF('Monthly cash runway'!W11="","",'Monthly cash runway'!W11&lt;0))),'Monthly cash runway'!W12/(0-'Monthly cash runway'!W11),"")</f>
        <v/>
      </c>
      <c r="X13" t="str" s="15">
        <f>IF(IF(IF(ISERROR('Monthly cash runway'!X11&lt;0),'Monthly cash runway'!X11&lt;0,IF('Monthly cash runway'!X11="","",'Monthly cash runway'!X11&lt;0))="",FALSE,IF(ISERROR('Monthly cash runway'!X11&lt;0),'Monthly cash runway'!X11&lt;0,IF('Monthly cash runway'!X11="","",'Monthly cash runway'!X11&lt;0))),'Monthly cash runway'!X12/(0-'Monthly cash runway'!X11),"")</f>
        <v/>
      </c>
      <c r="Y13" t="str" s="15">
        <f>IF(IF(IF(ISERROR('Monthly cash runway'!Y11&lt;0),'Monthly cash runway'!Y11&lt;0,IF('Monthly cash runway'!Y11="","",'Monthly cash runway'!Y11&lt;0))="",FALSE,IF(ISERROR('Monthly cash runway'!Y11&lt;0),'Monthly cash runway'!Y11&lt;0,IF('Monthly cash runway'!Y11="","",'Monthly cash runway'!Y11&lt;0))),'Monthly cash runway'!Y12/(0-'Monthly cash runway'!Y11),"")</f>
        <v/>
      </c>
      <c r="Z13" t="str" s="15">
        <f>IF(IF(IF(ISERROR('Monthly cash runway'!Z11&lt;0),'Monthly cash runway'!Z11&lt;0,IF('Monthly cash runway'!Z11="","",'Monthly cash runway'!Z11&lt;0))="",FALSE,IF(ISERROR('Monthly cash runway'!Z11&lt;0),'Monthly cash runway'!Z11&lt;0,IF('Monthly cash runway'!Z11="","",'Monthly cash runway'!Z11&lt;0))),'Monthly cash runway'!Z12/(0-'Monthly cash runway'!Z11),"")</f>
        <v/>
      </c>
    </row>
  </sheetData>
  <mergeCells count="1">
    <mergeCell ref="A1:Z1"/>
  </mergeCells>
</worksheet>
</file>

<file path=xl/worksheets/sheet4.xml><?xml version="1.0" encoding="utf-8"?>
<worksheet xmlns="http://schemas.openxmlformats.org/spreadsheetml/2006/main">
  <dimension ref="A1:E85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1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</row>
    <row r="6">
      <c r="A6" t="inlineStr" s="22">
        <is>
          <t xml:space="preserve">Avg bisects per customer · Plan mix</t>
        </is>
      </c>
      <c r="B6" s="23">
        <f>'Runway assumptions'!B5</f>
        <v>50</v>
      </c>
    </row>
    <row r="7">
      <c r="A7" t="inlineStr" s="22">
        <is>
          <t xml:space="preserve">Card fee per invoice · Plan mix</t>
        </is>
      </c>
      <c r="B7" s="23">
        <f>0.3</f>
        <v>0.3</v>
      </c>
    </row>
    <row r="8">
      <c r="A8" t="inlineStr" s="22">
        <is>
          <t xml:space="preserve">Card fee rate · Plan mix</t>
        </is>
      </c>
      <c r="B8" s="23">
        <f>0.029</f>
        <v>0.029</v>
      </c>
    </row>
    <row r="9">
      <c r="A9" t="inlineStr" s="22">
        <is>
          <t xml:space="preserve">Customer pays LLM</t>
        </is>
      </c>
      <c r="B9" s="24">
        <v>0</v>
      </c>
    </row>
    <row r="10" outlineLevel="1">
      <c r="A10" t="inlineStr" s="25">
        <is>
          <t xml:space="preserve">Customer pays LLM &gt; A · Flat $199/repo</t>
        </is>
      </c>
      <c r="B10" s="23">
        <f>0</f>
        <v>0</v>
      </c>
    </row>
    <row r="11" outlineLevel="1">
      <c r="A11" t="inlineStr" s="25">
        <is>
          <t xml:space="preserve">Customer pays LLM &gt; A · Flat $49/repo</t>
        </is>
      </c>
      <c r="B11" s="23">
        <f>0</f>
        <v>0</v>
      </c>
    </row>
    <row r="12" outlineLevel="1">
      <c r="A12" t="inlineStr" s="25">
        <is>
          <t xml:space="preserve">Customer pays LLM &gt; B · BYOK + $99/repo</t>
        </is>
      </c>
      <c r="B12" s="23">
        <f>1</f>
        <v>1</v>
      </c>
    </row>
    <row r="13" outlineLevel="1">
      <c r="A13" t="inlineStr" s="25">
        <is>
          <t xml:space="preserve">Customer pays LLM &gt; C · $5 per bisect</t>
        </is>
      </c>
      <c r="B13" s="23">
        <f>0</f>
        <v>0</v>
      </c>
    </row>
    <row r="14">
      <c r="A14" t="inlineStr" s="22">
        <is>
          <t xml:space="preserve">LLM cost per bisect</t>
        </is>
      </c>
      <c r="B14" s="24">
        <f>'Model inputs'!B59*'Model inputs'!B64</f>
        <v>0</v>
      </c>
    </row>
    <row r="15" outlineLevel="1">
      <c r="A15" t="inlineStr" s="25">
        <is>
          <t xml:space="preserve">LLM cost per bisect &gt; Bisect (v2)</t>
        </is>
      </c>
      <c r="B15" s="23">
        <f>'Model inputs'!B60*'Model inputs'!B65</f>
        <v>0.252</v>
      </c>
    </row>
    <row r="16" outlineLevel="1">
      <c r="A16" t="inlineStr" s="25">
        <is>
          <t xml:space="preserve">LLM cost per bisect &gt; Fix &amp; verify</t>
        </is>
      </c>
      <c r="B16" s="23">
        <f>'Model inputs'!B61*'Model inputs'!B66</f>
        <v>0</v>
      </c>
    </row>
    <row r="17" outlineLevel="1">
      <c r="A17" t="inlineStr" s="25">
        <is>
          <t xml:space="preserve">LLM cost per bisect &gt; Localise</t>
        </is>
      </c>
      <c r="B17" s="23">
        <f>'Model inputs'!B62*'Model inputs'!B67</f>
        <v>0</v>
      </c>
    </row>
    <row r="18">
      <c r="A18" t="inlineStr" s="22">
        <is>
          <t xml:space="preserve">Monthly churn</t>
        </is>
      </c>
      <c r="B18" s="23">
        <f>'Runway assumptions'!B7</f>
        <v>0.03</v>
      </c>
    </row>
    <row r="19">
      <c r="A19" t="inlineStr" s="22">
        <is>
          <t xml:space="preserve">Monthly fixed costs</t>
        </is>
      </c>
      <c r="B19" s="23">
        <f>'Model inputs'!B58*'Model inputs'!B57+'Model inputs'!B63</f>
        <v>10500</v>
      </c>
    </row>
    <row r="20">
      <c r="A20" t="inlineStr" s="22">
        <is>
          <t xml:space="preserve">New customer growth</t>
        </is>
      </c>
      <c r="B20" s="23">
        <f>'Runway assumptions'!B6</f>
        <v>0.1</v>
      </c>
    </row>
    <row r="21">
      <c r="A21" t="inlineStr" s="22">
        <is>
          <t xml:space="preserve">Price per bisect</t>
        </is>
      </c>
      <c r="B21" s="24">
        <v>0</v>
      </c>
    </row>
    <row r="22" outlineLevel="1">
      <c r="A22" t="inlineStr" s="25">
        <is>
          <t xml:space="preserve">Price per bisect &gt; A · Flat $199/repo</t>
        </is>
      </c>
      <c r="B22" s="23">
        <f>0</f>
        <v>0</v>
      </c>
    </row>
    <row r="23" outlineLevel="1">
      <c r="A23" t="inlineStr" s="25">
        <is>
          <t xml:space="preserve">Price per bisect &gt; A · Flat $49/repo</t>
        </is>
      </c>
      <c r="B23" s="23">
        <f>0</f>
        <v>0</v>
      </c>
    </row>
    <row r="24" outlineLevel="1">
      <c r="A24" t="inlineStr" s="25">
        <is>
          <t xml:space="preserve">Price per bisect &gt; B · BYOK + $99/repo</t>
        </is>
      </c>
      <c r="B24" s="23">
        <f>0</f>
        <v>0</v>
      </c>
    </row>
    <row r="25" outlineLevel="1">
      <c r="A25" t="inlineStr" s="25">
        <is>
          <t xml:space="preserve">Price per bisect &gt; C · $5 per bisect</t>
        </is>
      </c>
      <c r="B25" s="23">
        <f>5</f>
        <v>5</v>
      </c>
    </row>
    <row r="26">
      <c r="A26" t="inlineStr" s="22">
        <is>
          <t xml:space="preserve">Price per repo</t>
        </is>
      </c>
      <c r="B26" s="24">
        <v>0</v>
      </c>
    </row>
    <row r="27" outlineLevel="1">
      <c r="A27" t="inlineStr" s="25">
        <is>
          <t xml:space="preserve">Price per repo &gt; A · Flat $199/repo</t>
        </is>
      </c>
      <c r="B27" s="23">
        <f>199</f>
        <v>199</v>
      </c>
    </row>
    <row r="28" outlineLevel="1">
      <c r="A28" t="inlineStr" s="25">
        <is>
          <t xml:space="preserve">Price per repo &gt; A · Flat $49/repo</t>
        </is>
      </c>
      <c r="B28" s="23">
        <f>49</f>
        <v>49</v>
      </c>
    </row>
    <row r="29" outlineLevel="1">
      <c r="A29" t="inlineStr" s="25">
        <is>
          <t xml:space="preserve">Price per repo &gt; B · BYOK + $99/repo</t>
        </is>
      </c>
      <c r="B29" s="23">
        <f>99</f>
        <v>99</v>
      </c>
    </row>
    <row r="30" outlineLevel="1">
      <c r="A30" t="inlineStr" s="25">
        <is>
          <t xml:space="preserve">Price per repo &gt; C · $5 per bisect</t>
        </is>
      </c>
      <c r="B30" s="23">
        <f>0</f>
        <v>0</v>
      </c>
    </row>
    <row r="31">
      <c r="A31" t="inlineStr" s="22">
        <is>
          <t xml:space="preserve">Repos per customer · Plan mix</t>
        </is>
      </c>
      <c r="B31" s="23">
        <f>1</f>
        <v>1</v>
      </c>
    </row>
    <row r="32">
      <c r="A32" t="inlineStr" s="22">
        <is>
          <t xml:space="preserve">Weighted gross profit per customer</t>
        </is>
      </c>
      <c r="B32" s="24">
        <f>'Model inputs'!B47*'Model inputs'!B42</f>
        <v>-0</v>
      </c>
    </row>
    <row r="33" outlineLevel="1">
      <c r="A33" t="inlineStr" s="25">
        <is>
          <t xml:space="preserve">Weighted gross profit per customer &gt; A · Flat $199/repo</t>
        </is>
      </c>
      <c r="B33" s="23">
        <f>'Model inputs'!B48*'Model inputs'!B43</f>
        <v>0</v>
      </c>
    </row>
    <row r="34" outlineLevel="1">
      <c r="A34" t="inlineStr" s="25">
        <is>
          <t xml:space="preserve">Weighted gross profit per customer &gt; A · Flat $49/repo</t>
        </is>
      </c>
      <c r="B34" s="23">
        <f>'Model inputs'!B49*'Model inputs'!B44</f>
        <v>0</v>
      </c>
    </row>
    <row r="35" outlineLevel="1">
      <c r="A35" t="inlineStr" s="25">
        <is>
          <t xml:space="preserve">Weighted gross profit per customer &gt; B · BYOK + $99/repo</t>
        </is>
      </c>
      <c r="B35" s="23">
        <f>'Model inputs'!B50*'Model inputs'!B45</f>
        <v>95.829</v>
      </c>
    </row>
    <row r="36" outlineLevel="1">
      <c r="A36" t="inlineStr" s="25">
        <is>
          <t xml:space="preserve">Weighted gross profit per customer &gt; C · $5 per bisect</t>
        </is>
      </c>
      <c r="B36" s="23">
        <f>'Model inputs'!B51*'Model inputs'!B46</f>
        <v>0</v>
      </c>
    </row>
    <row r="37">
      <c r="A37" t="inlineStr" s="22">
        <is>
          <t xml:space="preserve">Weighted revenue per customer</t>
        </is>
      </c>
      <c r="B37" s="24">
        <f>'Model inputs'!B47*'Model inputs'!B52</f>
        <v>0</v>
      </c>
    </row>
    <row r="38" outlineLevel="1">
      <c r="A38" t="inlineStr" s="25">
        <is>
          <t xml:space="preserve">Weighted revenue per customer &gt; A · Flat $199/repo</t>
        </is>
      </c>
      <c r="B38" s="23">
        <f>'Model inputs'!B48*'Model inputs'!B53</f>
        <v>0</v>
      </c>
    </row>
    <row r="39" outlineLevel="1">
      <c r="A39" t="inlineStr" s="25">
        <is>
          <t xml:space="preserve">Weighted revenue per customer &gt; A · Flat $49/repo</t>
        </is>
      </c>
      <c r="B39" s="23">
        <f>'Model inputs'!B49*'Model inputs'!B54</f>
        <v>0</v>
      </c>
    </row>
    <row r="40" outlineLevel="1">
      <c r="A40" t="inlineStr" s="25">
        <is>
          <t xml:space="preserve">Weighted revenue per customer &gt; B · BYOK + $99/repo</t>
        </is>
      </c>
      <c r="B40" s="23">
        <f>'Model inputs'!B50*'Model inputs'!B55</f>
        <v>99</v>
      </c>
    </row>
    <row r="41" outlineLevel="1">
      <c r="A41" t="inlineStr" s="25">
        <is>
          <t xml:space="preserve">Weighted revenue per customer &gt; C · $5 per bisect</t>
        </is>
      </c>
      <c r="B41" s="23">
        <f>'Model inputs'!B51*'Model inputs'!B56</f>
        <v>0</v>
      </c>
    </row>
    <row r="42">
      <c r="A42" t="inlineStr" s="22">
        <is>
          <t xml:space="preserve">Gross profit per customer at avg volume</t>
        </is>
      </c>
      <c r="B42" s="24">
        <f>'Model inputs'!B52-(1-IF(IF(SUM(IF(IF('Model inputs'!B74="",0,1)="",0,IF('Model inputs'!B74="",0,1)),IF(IF('Model inputs'!B75="",0,1)="",0,IF('Model inputs'!B75="",0,1)),IF(IF('Model inputs'!B76="",0,1)="",0,IF('Model inputs'!B76="",0,1)),IF(IF('Model inputs'!B77="",0,1)="",0,IF('Model inputs'!B77="",0,1)))=0,"",SUM('Model inputs'!B74,'Model inputs'!B75,'Model inputs'!B76,'Model inputs'!B77))="",0,IF(SUM(IF(IF('Model inputs'!B74="",0,1)="",0,IF('Model inputs'!B74="",0,1)),IF(IF('Model inputs'!B75="",0,1)="",0,IF('Model inputs'!B75="",0,1)),IF(IF('Model inputs'!B76="",0,1)="",0,IF('Model inputs'!B76="",0,1)),IF(IF('Model inputs'!B77="",0,1)="",0,IF('Model inputs'!B77="",0,1)))=0,"",SUM('Model inputs'!B74,'Model inputs'!B75,'Model inputs'!B76,'Model inputs'!B77))))*'Model inputs'!B6*SUM('Model inputs'!B15,'Model inputs'!B16,'Model inputs'!B17)-IF(IF(IF(IF(ISERROR('Model inputs'!B52&gt;0),'Model inputs'!B52&gt;0,IF('Model inputs'!B52="","",'Model inputs'!B52&gt;0))="",FALSE,IF(ISERROR('Model inputs'!B52&gt;0),'Model inputs'!B52&gt;0,IF('Model inputs'!B52="","",'Model inputs'!B52&gt;0))),'Model inputs'!B52*'Model inputs'!B8+'Model inputs'!B7,0)="",0,IF(IF(IF(ISERROR('Model inputs'!B52&gt;0),'Model inputs'!B52&gt;0,IF('Model inputs'!B52="","",'Model inputs'!B52&gt;0))="",FALSE,IF(ISERROR('Model inputs'!B52&gt;0),'Model inputs'!B52&gt;0,IF('Model inputs'!B52="","",'Model inputs'!B52&gt;0))),'Model inputs'!B52*'Model inputs'!B8+'Model inputs'!B7,0))</f>
        <v>-12.6</v>
      </c>
    </row>
    <row r="43" outlineLevel="1">
      <c r="A43" t="inlineStr" s="25">
        <is>
          <t xml:space="preserve">Gross profit per customer at avg volume &gt; A · Flat $199/repo</t>
        </is>
      </c>
      <c r="B43" s="23">
        <f>'Model inputs'!B53-(1-'Model inputs'!B10)*'Model inputs'!B6*SUM('Model inputs'!B15,'Model inputs'!B16,'Model inputs'!B17)-IF(IF(IF(IF(ISERROR('Model inputs'!B53&gt;0),'Model inputs'!B53&gt;0,IF('Model inputs'!B53="","",'Model inputs'!B53&gt;0))="",FALSE,IF(ISERROR('Model inputs'!B53&gt;0),'Model inputs'!B53&gt;0,IF('Model inputs'!B53="","",'Model inputs'!B53&gt;0))),'Model inputs'!B53*'Model inputs'!B8+'Model inputs'!B7,0)="",0,IF(IF(IF(ISERROR('Model inputs'!B53&gt;0),'Model inputs'!B53&gt;0,IF('Model inputs'!B53="","",'Model inputs'!B53&gt;0))="",FALSE,IF(ISERROR('Model inputs'!B53&gt;0),'Model inputs'!B53&gt;0,IF('Model inputs'!B53="","",'Model inputs'!B53&gt;0))),'Model inputs'!B53*'Model inputs'!B8+'Model inputs'!B7,0))</f>
        <v>180.329</v>
      </c>
    </row>
    <row r="44" outlineLevel="1">
      <c r="A44" t="inlineStr" s="25">
        <is>
          <t xml:space="preserve">Gross profit per customer at avg volume &gt; A · Flat $49/repo</t>
        </is>
      </c>
      <c r="B44" s="23">
        <f>'Model inputs'!B54-(1-'Model inputs'!B11)*'Model inputs'!B6*SUM('Model inputs'!B15,'Model inputs'!B16,'Model inputs'!B17)-IF(IF(IF(IF(ISERROR('Model inputs'!B54&gt;0),'Model inputs'!B54&gt;0,IF('Model inputs'!B54="","",'Model inputs'!B54&gt;0))="",FALSE,IF(ISERROR('Model inputs'!B54&gt;0),'Model inputs'!B54&gt;0,IF('Model inputs'!B54="","",'Model inputs'!B54&gt;0))),'Model inputs'!B54*'Model inputs'!B8+'Model inputs'!B7,0)="",0,IF(IF(IF(ISERROR('Model inputs'!B54&gt;0),'Model inputs'!B54&gt;0,IF('Model inputs'!B54="","",'Model inputs'!B54&gt;0))="",FALSE,IF(ISERROR('Model inputs'!B54&gt;0),'Model inputs'!B54&gt;0,IF('Model inputs'!B54="","",'Model inputs'!B54&gt;0))),'Model inputs'!B54*'Model inputs'!B8+'Model inputs'!B7,0))</f>
        <v>34.679</v>
      </c>
    </row>
    <row r="45" outlineLevel="1">
      <c r="A45" t="inlineStr" s="25">
        <is>
          <t xml:space="preserve">Gross profit per customer at avg volume &gt; B · BYOK + $99/repo</t>
        </is>
      </c>
      <c r="B45" s="23">
        <f>'Model inputs'!B55-(1-'Model inputs'!B12)*'Model inputs'!B6*SUM('Model inputs'!B15,'Model inputs'!B16,'Model inputs'!B17)-IF(IF(IF(IF(ISERROR('Model inputs'!B55&gt;0),'Model inputs'!B55&gt;0,IF('Model inputs'!B55="","",'Model inputs'!B55&gt;0))="",FALSE,IF(ISERROR('Model inputs'!B55&gt;0),'Model inputs'!B55&gt;0,IF('Model inputs'!B55="","",'Model inputs'!B55&gt;0))),'Model inputs'!B55*'Model inputs'!B8+'Model inputs'!B7,0)="",0,IF(IF(IF(ISERROR('Model inputs'!B55&gt;0),'Model inputs'!B55&gt;0,IF('Model inputs'!B55="","",'Model inputs'!B55&gt;0))="",FALSE,IF(ISERROR('Model inputs'!B55&gt;0),'Model inputs'!B55&gt;0,IF('Model inputs'!B55="","",'Model inputs'!B55&gt;0))),'Model inputs'!B55*'Model inputs'!B8+'Model inputs'!B7,0))</f>
        <v>95.829</v>
      </c>
    </row>
    <row r="46" outlineLevel="1">
      <c r="A46" t="inlineStr" s="25">
        <is>
          <t xml:space="preserve">Gross profit per customer at avg volume &gt; C · $5 per bisect</t>
        </is>
      </c>
      <c r="B46" s="23">
        <f>'Model inputs'!B56-(1-'Model inputs'!B13)*'Model inputs'!B6*SUM('Model inputs'!B15,'Model inputs'!B16,'Model inputs'!B17)-IF(IF(IF(IF(ISERROR('Model inputs'!B56&gt;0),'Model inputs'!B56&gt;0,IF('Model inputs'!B56="","",'Model inputs'!B56&gt;0))="",FALSE,IF(ISERROR('Model inputs'!B56&gt;0),'Model inputs'!B56&gt;0,IF('Model inputs'!B56="","",'Model inputs'!B56&gt;0))),'Model inputs'!B56*'Model inputs'!B8+'Model inputs'!B7,0)="",0,IF(IF(IF(ISERROR('Model inputs'!B56&gt;0),'Model inputs'!B56&gt;0,IF('Model inputs'!B56="","",'Model inputs'!B56&gt;0))="",FALSE,IF(ISERROR('Model inputs'!B56&gt;0),'Model inputs'!B56&gt;0,IF('Model inputs'!B56="","",'Model inputs'!B56&gt;0))),'Model inputs'!B56*'Model inputs'!B8+'Model inputs'!B7,0))</f>
        <v>229.85</v>
      </c>
    </row>
    <row r="47">
      <c r="A47" t="inlineStr" s="22">
        <is>
          <t xml:space="preserve">Plan mix</t>
        </is>
      </c>
      <c r="B47" s="24">
        <v>0</v>
      </c>
    </row>
    <row r="48" outlineLevel="1">
      <c r="A48" t="inlineStr" s="25">
        <is>
          <t xml:space="preserve">Plan mix &gt; A · Flat $199/repo</t>
        </is>
      </c>
      <c r="B48" s="23">
        <f>'Plan mix'!B5</f>
        <v>0</v>
      </c>
    </row>
    <row r="49" outlineLevel="1">
      <c r="A49" t="inlineStr" s="25">
        <is>
          <t xml:space="preserve">Plan mix &gt; A · Flat $49/repo</t>
        </is>
      </c>
      <c r="B49" s="23">
        <f>'Plan mix'!B6</f>
        <v>0</v>
      </c>
    </row>
    <row r="50" outlineLevel="1">
      <c r="A50" t="inlineStr" s="25">
        <is>
          <t xml:space="preserve">Plan mix &gt; B · BYOK + $99/repo</t>
        </is>
      </c>
      <c r="B50" s="23">
        <f>'Plan mix'!B7</f>
        <v>1</v>
      </c>
    </row>
    <row r="51" outlineLevel="1">
      <c r="A51" t="inlineStr" s="25">
        <is>
          <t xml:space="preserve">Plan mix &gt; C · $5 per bisect</t>
        </is>
      </c>
      <c r="B51" s="23">
        <f>'Plan mix'!B8</f>
        <v>0</v>
      </c>
    </row>
    <row r="52">
      <c r="A52" t="inlineStr" s="22">
        <is>
          <t xml:space="preserve">Revenue per customer at avg volume</t>
        </is>
      </c>
      <c r="B52" s="24">
        <f>'Model inputs'!B31*IF(IF(SUM(IF(IF('Model inputs'!B78="",0,1)="",0,IF('Model inputs'!B78="",0,1)),IF(IF('Model inputs'!B79="",0,1)="",0,IF('Model inputs'!B79="",0,1)),IF(IF('Model inputs'!B80="",0,1)="",0,IF('Model inputs'!B80="",0,1)),IF(IF('Model inputs'!B81="",0,1)="",0,IF('Model inputs'!B81="",0,1)))=0,"",SUM('Model inputs'!B78,'Model inputs'!B79,'Model inputs'!B80,'Model inputs'!B81))="",0,IF(SUM(IF(IF('Model inputs'!B78="",0,1)="",0,IF('Model inputs'!B78="",0,1)),IF(IF('Model inputs'!B79="",0,1)="",0,IF('Model inputs'!B79="",0,1)),IF(IF('Model inputs'!B80="",0,1)="",0,IF('Model inputs'!B80="",0,1)),IF(IF('Model inputs'!B81="",0,1)="",0,IF('Model inputs'!B81="",0,1)))=0,"",SUM('Model inputs'!B78,'Model inputs'!B79,'Model inputs'!B80,'Model inputs'!B81)))+IF(IF(SUM(IF(IF('Model inputs'!B82="",0,1)="",0,IF('Model inputs'!B82="",0,1)),IF(IF('Model inputs'!B83="",0,1)="",0,IF('Model inputs'!B83="",0,1)),IF(IF('Model inputs'!B84="",0,1)="",0,IF('Model inputs'!B84="",0,1)),IF(IF('Model inputs'!B85="",0,1)="",0,IF('Model inputs'!B85="",0,1)))=0,"",SUM('Model inputs'!B82,'Model inputs'!B83,'Model inputs'!B84,'Model inputs'!B85))="",0,IF(SUM(IF(IF('Model inputs'!B82="",0,1)="",0,IF('Model inputs'!B82="",0,1)),IF(IF('Model inputs'!B83="",0,1)="",0,IF('Model inputs'!B83="",0,1)),IF(IF('Model inputs'!B84="",0,1)="",0,IF('Model inputs'!B84="",0,1)),IF(IF('Model inputs'!B85="",0,1)="",0,IF('Model inputs'!B85="",0,1)))=0,"",SUM('Model inputs'!B82,'Model inputs'!B83,'Model inputs'!B84,'Model inputs'!B85)))*'Model inputs'!B6</f>
        <v>0</v>
      </c>
    </row>
    <row r="53" outlineLevel="1">
      <c r="A53" t="inlineStr" s="25">
        <is>
          <t xml:space="preserve">Revenue per customer at avg volume &gt; A · Flat $199/repo</t>
        </is>
      </c>
      <c r="B53" s="23">
        <f>'Model inputs'!B31*'Model inputs'!B27+'Model inputs'!B22*'Model inputs'!B6</f>
        <v>199</v>
      </c>
    </row>
    <row r="54" outlineLevel="1">
      <c r="A54" t="inlineStr" s="25">
        <is>
          <t xml:space="preserve">Revenue per customer at avg volume &gt; A · Flat $49/repo</t>
        </is>
      </c>
      <c r="B54" s="23">
        <f>'Model inputs'!B31*'Model inputs'!B28+'Model inputs'!B23*'Model inputs'!B6</f>
        <v>49</v>
      </c>
    </row>
    <row r="55" outlineLevel="1">
      <c r="A55" t="inlineStr" s="25">
        <is>
          <t xml:space="preserve">Revenue per customer at avg volume &gt; B · BYOK + $99/repo</t>
        </is>
      </c>
      <c r="B55" s="23">
        <f>'Model inputs'!B31*'Model inputs'!B29+'Model inputs'!B24*'Model inputs'!B6</f>
        <v>99</v>
      </c>
    </row>
    <row r="56" outlineLevel="1">
      <c r="A56" t="inlineStr" s="25">
        <is>
          <t xml:space="preserve">Revenue per customer at avg volume &gt; C · $5 per bisect</t>
        </is>
      </c>
      <c r="B56" s="23">
        <f>'Model inputs'!B31*'Model inputs'!B30+'Model inputs'!B25*'Model inputs'!B6</f>
        <v>250</v>
      </c>
    </row>
    <row r="57">
      <c r="A57" t="inlineStr" s="22">
        <is>
          <t xml:space="preserve">Founder cost per month · Monthly fixed costs</t>
        </is>
      </c>
      <c r="B57" s="23">
        <f>5000</f>
        <v>5000</v>
      </c>
    </row>
    <row r="58">
      <c r="A58" t="inlineStr" s="22">
        <is>
          <t xml:space="preserve">Founders · Monthly fixed costs</t>
        </is>
      </c>
      <c r="B58" s="23">
        <f>2</f>
        <v>2</v>
      </c>
    </row>
    <row r="59">
      <c r="A59" t="inlineStr" s="22">
        <is>
          <t xml:space="preserve">LLM cost per run</t>
        </is>
      </c>
      <c r="B59" s="24">
        <v>0</v>
      </c>
    </row>
    <row r="60" outlineLevel="1">
      <c r="A60" t="inlineStr" s="25">
        <is>
          <t xml:space="preserve">LLM cost per run &gt; Bisect (v2)</t>
        </is>
      </c>
      <c r="B60" s="23">
        <f>0.252</f>
        <v>0.252</v>
      </c>
    </row>
    <row r="61" outlineLevel="1">
      <c r="A61" t="inlineStr" s="25">
        <is>
          <t xml:space="preserve">LLM cost per run &gt; Fix &amp; verify</t>
        </is>
      </c>
      <c r="B61" s="23">
        <f>0.3337</f>
        <v>0.3337</v>
      </c>
    </row>
    <row r="62" outlineLevel="1">
      <c r="A62" t="inlineStr" s="25">
        <is>
          <t xml:space="preserve">LLM cost per run &gt; Localise</t>
        </is>
      </c>
      <c r="B62" s="23">
        <f>0.2002</f>
        <v>0.2002</v>
      </c>
    </row>
    <row r="63">
      <c r="A63" t="inlineStr" s="22">
        <is>
          <t xml:space="preserve">Other fixed costs per month · Monthly fixed costs</t>
        </is>
      </c>
      <c r="B63" s="23">
        <f>500</f>
        <v>500</v>
      </c>
    </row>
    <row r="64">
      <c r="A64" t="inlineStr" s="22">
        <is>
          <t xml:space="preserve">Stage run rate</t>
        </is>
      </c>
      <c r="B64" s="24">
        <v>0</v>
      </c>
    </row>
    <row r="65" outlineLevel="1">
      <c r="A65" t="inlineStr" s="25">
        <is>
          <t xml:space="preserve">Stage run rate &gt; Bisect (v2)</t>
        </is>
      </c>
      <c r="B65" s="23">
        <f>1</f>
        <v>1</v>
      </c>
    </row>
    <row r="66" outlineLevel="1">
      <c r="A66" t="inlineStr" s="25">
        <is>
          <t xml:space="preserve">Stage run rate &gt; Fix &amp; verify</t>
        </is>
      </c>
      <c r="B66" s="23">
        <f>0</f>
        <v>0</v>
      </c>
    </row>
    <row r="67" outlineLevel="1">
      <c r="A67" t="inlineStr" s="25">
        <is>
          <t xml:space="preserve">Stage run rate &gt; Localise</t>
        </is>
      </c>
      <c r="B67" s="23">
        <f>0</f>
        <v>0</v>
      </c>
    </row>
    <row r="69">
      <c r="A69" t="inlineStr" s="21">
        <is>
          <t xml:space="preserve">Dimensions</t>
        </is>
      </c>
    </row>
    <row r="70">
      <c r="A70" t="inlineStr" s="22">
        <is>
          <t xml:space="preserve">Pipeline stage</t>
        </is>
      </c>
      <c r="B70" t="inlineStr" s="26">
        <is>
          <t xml:space="preserve">Bisect (v2)</t>
        </is>
      </c>
      <c r="C70" t="inlineStr" s="26">
        <is>
          <t xml:space="preserve">Fix &amp; verify</t>
        </is>
      </c>
      <c r="D70" t="inlineStr" s="26">
        <is>
          <t xml:space="preserve">Localise</t>
        </is>
      </c>
    </row>
    <row r="71">
      <c r="A71" t="inlineStr" s="22">
        <is>
          <t xml:space="preserve">Pricing plan</t>
        </is>
      </c>
      <c r="B71" t="inlineStr" s="26">
        <is>
          <t xml:space="preserve">A · Flat $199/repo</t>
        </is>
      </c>
      <c r="C71" t="inlineStr" s="26">
        <is>
          <t xml:space="preserve">A · Flat $49/repo</t>
        </is>
      </c>
      <c r="D71" t="inlineStr" s="26">
        <is>
          <t xml:space="preserve">B · BYOK + $99/repo</t>
        </is>
      </c>
      <c r="E71" t="inlineStr" s="26">
        <is>
          <t xml:space="preserve">C · $5 per bisect</t>
        </is>
      </c>
    </row>
    <row r="73">
      <c r="A73" t="inlineStr" s="21">
        <is>
          <t xml:space="preserve">Supporting calculations</t>
        </is>
      </c>
    </row>
    <row r="74">
      <c r="A74" t="inlineStr" s="22">
        <is>
          <t xml:space="preserve">Calculation</t>
        </is>
      </c>
      <c r="B74">
        <f>IF(IF(EXACT("A · Flat $199/repo","")="",FALSE,EXACT("A · Flat $199/repo","")),IF('Model inputs'!B10="","",'Model inputs'!B10),"")</f>
      </c>
    </row>
    <row r="75">
      <c r="A75" t="inlineStr" s="22">
        <is>
          <t xml:space="preserve">Calculation</t>
        </is>
      </c>
      <c r="B75">
        <f>IF(IF(EXACT("A · Flat $49/repo","")="",FALSE,EXACT("A · Flat $49/repo","")),IF('Model inputs'!B11="","",'Model inputs'!B11),"")</f>
      </c>
    </row>
    <row r="76">
      <c r="A76" t="inlineStr" s="22">
        <is>
          <t xml:space="preserve">Calculation</t>
        </is>
      </c>
      <c r="B76">
        <f>IF(IF(EXACT("B · BYOK + $99/repo","")="",FALSE,EXACT("B · BYOK + $99/repo","")),IF('Model inputs'!B12="","",'Model inputs'!B12),"")</f>
      </c>
    </row>
    <row r="77">
      <c r="A77" t="inlineStr" s="22">
        <is>
          <t xml:space="preserve">Calculation</t>
        </is>
      </c>
      <c r="B77">
        <f>IF(IF(EXACT("C · $5 per bisect","")="",FALSE,EXACT("C · $5 per bisect","")),IF('Model inputs'!B13="","",'Model inputs'!B13),"")</f>
      </c>
    </row>
    <row r="78">
      <c r="A78" t="inlineStr" s="22">
        <is>
          <t xml:space="preserve">Calculation</t>
        </is>
      </c>
      <c r="B78">
        <f>IF(IF(EXACT("A · Flat $199/repo","")="",FALSE,EXACT("A · Flat $199/repo","")),IF('Model inputs'!B27="","",'Model inputs'!B27),"")</f>
      </c>
    </row>
    <row r="79">
      <c r="A79" t="inlineStr" s="22">
        <is>
          <t xml:space="preserve">Calculation</t>
        </is>
      </c>
      <c r="B79">
        <f>IF(IF(EXACT("A · Flat $49/repo","")="",FALSE,EXACT("A · Flat $49/repo","")),IF('Model inputs'!B28="","",'Model inputs'!B28),"")</f>
      </c>
    </row>
    <row r="80">
      <c r="A80" t="inlineStr" s="22">
        <is>
          <t xml:space="preserve">Calculation</t>
        </is>
      </c>
      <c r="B80">
        <f>IF(IF(EXACT("B · BYOK + $99/repo","")="",FALSE,EXACT("B · BYOK + $99/repo","")),IF('Model inputs'!B29="","",'Model inputs'!B29),"")</f>
      </c>
    </row>
    <row r="81">
      <c r="A81" t="inlineStr" s="22">
        <is>
          <t xml:space="preserve">Calculation</t>
        </is>
      </c>
      <c r="B81">
        <f>IF(IF(EXACT("C · $5 per bisect","")="",FALSE,EXACT("C · $5 per bisect","")),IF('Model inputs'!B30="","",'Model inputs'!B30),"")</f>
      </c>
    </row>
    <row r="82">
      <c r="A82" t="inlineStr" s="22">
        <is>
          <t xml:space="preserve">Calculation</t>
        </is>
      </c>
      <c r="B82">
        <f>IF(IF(EXACT("A · Flat $199/repo","")="",FALSE,EXACT("A · Flat $199/repo","")),IF('Model inputs'!B22="","",'Model inputs'!B22),"")</f>
      </c>
    </row>
    <row r="83">
      <c r="A83" t="inlineStr" s="22">
        <is>
          <t xml:space="preserve">Calculation</t>
        </is>
      </c>
      <c r="B83">
        <f>IF(IF(EXACT("A · Flat $49/repo","")="",FALSE,EXACT("A · Flat $49/repo","")),IF('Model inputs'!B23="","",'Model inputs'!B23),"")</f>
      </c>
    </row>
    <row r="84">
      <c r="A84" t="inlineStr" s="22">
        <is>
          <t xml:space="preserve">Calculation</t>
        </is>
      </c>
      <c r="B84">
        <f>IF(IF(EXACT("B · BYOK + $99/repo","")="",FALSE,EXACT("B · BYOK + $99/repo","")),IF('Model inputs'!B24="","",'Model inputs'!B24),"")</f>
      </c>
    </row>
    <row r="85">
      <c r="A85" t="inlineStr" s="22">
        <is>
          <t xml:space="preserve">Calculation</t>
        </is>
      </c>
      <c r="B85">
        <f>IF(IF(EXACT("C · $5 per bisect","")="",FALSE,EXACT("C · $5 per bisect","")),IF('Model inputs'!B25="","",'Model inputs'!B25),"")</f>
      </c>
    </row>
  </sheetData>
  <mergeCells count="2">
    <mergeCell ref="A1:B1"/>
    <mergeCell ref="A2:B2"/>
  </mergeCells>
</worksheet>
</file>