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Unit costs per bisect" sheetId="1" r:id="rId1"/>
    <sheet name="Billing assumptions" sheetId="2" r:id="rId2"/>
    <sheet name="Pricing plans" sheetId="3" r:id="rId3"/>
    <sheet name="Bisect volumes" sheetId="4" r:id="rId4"/>
    <sheet name="Gross margin per customer" sheetId="5" r:id="rId5"/>
    <sheet name="Break-even inputs" sheetId="6" r:id="rId6"/>
    <sheet name="Break-even paying repos" sheetId="7" r:id="rId7"/>
    <sheet name="Model inputs" sheetId="8" r:id="rId8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&quot;$&quot;#,##0.0000;(&quot;$&quot;#,##0.0000)"/>
    <numFmt numFmtId="165" formatCode="0%"/>
    <numFmt numFmtId="166" formatCode="#,##0.###;(#,##0.###)"/>
    <numFmt numFmtId="167" formatCode="0.0%"/>
    <numFmt numFmtId="168" formatCode="&quot;$&quot;#,##0.00;(&quot;$&quot;#,##0.00)"/>
    <numFmt numFmtId="169" formatCode="&quot;$&quot;#,##0;(&quot;$&quot;#,##0)"/>
    <numFmt numFmtId="170" formatCode="#,##0;(#,##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 indent="1"/>
    </xf>
    <xf numFmtId="0" fontId="3" fillId="0" borderId="0" xfId="0" applyFont="1" applyAlignment="1">
      <alignment vertical="center" horizontal="left" indent="1"/>
    </xf>
    <xf numFmtId="168" fontId="3" fillId="0" borderId="0" xfId="0" applyNumberFormat="1" applyFon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7" fontId="3" fillId="0" borderId="0" xfId="0" applyNumberFormat="1" applyFont="1" applyAlignment="1">
      <alignment vertical="center" horizontal="right"/>
    </xf>
    <xf numFmtId="170" fontId="3" fillId="0" borderId="0" xfId="0" applyNumberFormat="1" applyFont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  <xf numFmtId="166" fontId="0" fillId="0" borderId="0" xfId="0" applyNumberFormat="1" applyAlignment="1">
      <alignment vertical="center" horizontal="right"/>
    </xf>
    <xf numFmtId="0" fontId="0" fillId="5" borderId="0" xfId="0" applyFill="1" applyAlignment="1">
      <alignment vertical="center" horizontal="left" indent="1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Unit costs per bisect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LLM cost per run</t>
        </is>
      </c>
      <c r="C4" t="inlineStr" s="4">
        <is>
          <t xml:space="preserve">Stage run rate</t>
        </is>
      </c>
      <c r="D4" t="inlineStr" s="4">
        <is>
          <t xml:space="preserve">LLM cost per bisect</t>
        </is>
      </c>
    </row>
    <row r="5">
      <c r="A5" t="inlineStr" s="5">
        <is>
          <t xml:space="preserve">Bisect (v2)</t>
        </is>
      </c>
      <c r="B5" s="6">
        <f>0.252</f>
        <v>0.252</v>
      </c>
      <c r="C5" s="7">
        <f>1</f>
        <v>1</v>
      </c>
      <c r="D5" s="6">
        <f>'Unit costs per bisect'!B5*'Unit costs per bisect'!C5</f>
        <v>0.252</v>
      </c>
    </row>
    <row r="6">
      <c r="A6" t="inlineStr" s="8">
        <is>
          <t xml:space="preserve">Fix &amp; verify</t>
        </is>
      </c>
      <c r="B6" s="9">
        <f>0.3337</f>
        <v>0.3337</v>
      </c>
      <c r="C6" s="10">
        <f>0</f>
        <v>0</v>
      </c>
      <c r="D6" s="9">
        <f>'Unit costs per bisect'!B6*'Unit costs per bisect'!C6</f>
        <v>0</v>
      </c>
    </row>
    <row r="7">
      <c r="A7" t="inlineStr" s="5">
        <is>
          <t xml:space="preserve">Localise</t>
        </is>
      </c>
      <c r="B7" s="6">
        <f>0.2002</f>
        <v>0.2002</v>
      </c>
      <c r="C7" s="7">
        <f>0</f>
        <v>0</v>
      </c>
      <c r="D7" s="6">
        <f>'Unit costs per bisect'!B7*'Unit costs per bisect'!C7</f>
        <v>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B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Billing assumptions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Repos per customer</t>
        </is>
      </c>
      <c r="B5" s="11">
        <f>1</f>
        <v>1</v>
      </c>
    </row>
    <row r="6">
      <c r="A6" t="inlineStr" s="8">
        <is>
          <t xml:space="preserve">Card fee rate</t>
        </is>
      </c>
      <c r="B6" s="12">
        <f>0.029</f>
        <v>0.029</v>
      </c>
    </row>
    <row r="7">
      <c r="A7" t="inlineStr" s="5">
        <is>
          <t xml:space="preserve">Card fee per invoice</t>
        </is>
      </c>
      <c r="B7" s="13">
        <f>0.3</f>
        <v>0.3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D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Pricing plans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Price per repo</t>
        </is>
      </c>
      <c r="C4" t="inlineStr" s="4">
        <is>
          <t xml:space="preserve">Price per bisect</t>
        </is>
      </c>
      <c r="D4" t="inlineStr" s="4">
        <is>
          <t xml:space="preserve">Customer pays LLM</t>
        </is>
      </c>
    </row>
    <row r="5">
      <c r="A5" t="inlineStr" s="5">
        <is>
          <t xml:space="preserve">A · Flat $199/repo</t>
        </is>
      </c>
      <c r="B5" s="14">
        <f>199</f>
        <v>199</v>
      </c>
      <c r="C5" s="13">
        <f>0</f>
        <v>0</v>
      </c>
      <c r="D5" s="15">
        <f>0</f>
        <v>0</v>
      </c>
    </row>
    <row r="6">
      <c r="A6" t="inlineStr" s="8">
        <is>
          <t xml:space="preserve">A · Flat $49/repo</t>
        </is>
      </c>
      <c r="B6" s="16">
        <f>49</f>
        <v>49</v>
      </c>
      <c r="C6" s="17">
        <f>0</f>
        <v>0</v>
      </c>
      <c r="D6" s="18">
        <f>0</f>
        <v>0</v>
      </c>
    </row>
    <row r="7">
      <c r="A7" t="inlineStr" s="8">
        <is>
          <t xml:space="preserve">B · BYOK + $99/repo</t>
        </is>
      </c>
      <c r="B7" s="16">
        <f>99</f>
        <v>99</v>
      </c>
      <c r="C7" s="17">
        <f>0</f>
        <v>0</v>
      </c>
      <c r="D7" s="18">
        <f>1</f>
        <v>1</v>
      </c>
    </row>
    <row r="8">
      <c r="A8" t="inlineStr" s="5">
        <is>
          <t xml:space="preserve">C · $5 per bisect</t>
        </is>
      </c>
      <c r="B8" s="14">
        <f>0</f>
        <v>0</v>
      </c>
      <c r="C8" s="13">
        <f>5</f>
        <v>5</v>
      </c>
      <c r="D8" s="15">
        <f>0</f>
        <v>0</v>
      </c>
    </row>
  </sheetData>
  <mergeCells count="1">
    <mergeCell ref="A1:D1"/>
  </mergeCells>
</worksheet>
</file>

<file path=xl/worksheets/sheet4.xml><?xml version="1.0" encoding="utf-8"?>
<worksheet xmlns="http://schemas.openxmlformats.org/spreadsheetml/2006/main">
  <dimension ref="A1:B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Bisect volumes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Bisects per month</t>
        </is>
      </c>
    </row>
    <row r="5">
      <c r="A5" t="inlineStr" s="5">
        <is>
          <t xml:space="preserve">10 bisects/mo</t>
        </is>
      </c>
      <c r="B5" s="15">
        <f>10</f>
        <v>10</v>
      </c>
    </row>
    <row r="6">
      <c r="A6" t="inlineStr" s="8">
        <is>
          <t xml:space="preserve">200 bisects/mo</t>
        </is>
      </c>
      <c r="B6" s="18">
        <f>200</f>
        <v>200</v>
      </c>
    </row>
    <row r="7">
      <c r="A7" t="inlineStr" s="5">
        <is>
          <t xml:space="preserve">50 bisects/mo</t>
        </is>
      </c>
      <c r="B7" s="15">
        <f>50</f>
        <v>50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D2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Gross margin per customer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10 bisects/mo</t>
        </is>
      </c>
      <c r="C4" t="inlineStr" s="4">
        <is>
          <t xml:space="preserve">50 bisects/mo</t>
        </is>
      </c>
      <c r="D4" t="inlineStr" s="4">
        <is>
          <t xml:space="preserve">200 bisects/mo</t>
        </is>
      </c>
    </row>
    <row r="5">
      <c r="A5" t="inlineStr" s="5">
        <is>
          <t xml:space="preserve">Revenue per customer</t>
        </is>
      </c>
      <c r="B5" t="str" s="13">
        <f>""</f>
        <v/>
      </c>
      <c r="C5" t="str" s="13">
        <f>""</f>
        <v/>
      </c>
      <c r="D5" t="str" s="13">
        <f>""</f>
        <v/>
      </c>
    </row>
    <row r="6" outlineLevel="1">
      <c r="A6" t="inlineStr" s="19">
        <is>
          <t xml:space="preserve">A · Flat $199/repo</t>
        </is>
      </c>
      <c r="B6" s="17">
        <f>'Billing assumptions'!B5*'Pricing plans'!B5+'Pricing plans'!C5*'Bisect volumes'!B5</f>
        <v>199</v>
      </c>
      <c r="C6" s="17">
        <f>'Billing assumptions'!B5*'Pricing plans'!B5+'Pricing plans'!C5*'Bisect volumes'!B7</f>
        <v>199</v>
      </c>
      <c r="D6" s="17">
        <f>'Billing assumptions'!B5*'Pricing plans'!B5+'Pricing plans'!C5*'Bisect volumes'!B6</f>
        <v>199</v>
      </c>
    </row>
    <row r="7" outlineLevel="1">
      <c r="A7" t="inlineStr" s="19">
        <is>
          <t xml:space="preserve">A · Flat $49/repo</t>
        </is>
      </c>
      <c r="B7" s="17">
        <f>'Billing assumptions'!B5*'Pricing plans'!B6+'Pricing plans'!C6*'Bisect volumes'!B5</f>
        <v>49</v>
      </c>
      <c r="C7" s="17">
        <f>'Billing assumptions'!B5*'Pricing plans'!B6+'Pricing plans'!C6*'Bisect volumes'!B7</f>
        <v>49</v>
      </c>
      <c r="D7" s="17">
        <f>'Billing assumptions'!B5*'Pricing plans'!B6+'Pricing plans'!C6*'Bisect volumes'!B6</f>
        <v>49</v>
      </c>
    </row>
    <row r="8" outlineLevel="1">
      <c r="A8" t="inlineStr" s="19">
        <is>
          <t xml:space="preserve">B · BYOK + $99/repo</t>
        </is>
      </c>
      <c r="B8" s="17">
        <f>'Billing assumptions'!B5*'Pricing plans'!B7+'Pricing plans'!C7*'Bisect volumes'!B5</f>
        <v>99</v>
      </c>
      <c r="C8" s="17">
        <f>'Billing assumptions'!B5*'Pricing plans'!B7+'Pricing plans'!C7*'Bisect volumes'!B7</f>
        <v>99</v>
      </c>
      <c r="D8" s="17">
        <f>'Billing assumptions'!B5*'Pricing plans'!B7+'Pricing plans'!C7*'Bisect volumes'!B6</f>
        <v>99</v>
      </c>
    </row>
    <row r="9" outlineLevel="1">
      <c r="A9" t="inlineStr" s="19">
        <is>
          <t xml:space="preserve">C · $5 per bisect</t>
        </is>
      </c>
      <c r="B9" s="17">
        <f>'Billing assumptions'!B5*'Pricing plans'!B8+'Pricing plans'!C8*'Bisect volumes'!B5</f>
        <v>50</v>
      </c>
      <c r="C9" s="17">
        <f>'Billing assumptions'!B5*'Pricing plans'!B8+'Pricing plans'!C8*'Bisect volumes'!B7</f>
        <v>250</v>
      </c>
      <c r="D9" s="17">
        <f>'Billing assumptions'!B5*'Pricing plans'!B8+'Pricing plans'!C8*'Bisect volumes'!B6</f>
        <v>1000</v>
      </c>
    </row>
    <row r="10">
      <c r="A10" t="inlineStr" s="5">
        <is>
          <t xml:space="preserve">LLM cost per customer</t>
        </is>
      </c>
      <c r="B10" t="str" s="13">
        <f>""</f>
        <v/>
      </c>
      <c r="C10" t="str" s="13">
        <f>""</f>
        <v/>
      </c>
      <c r="D10" t="str" s="13">
        <f>""</f>
        <v/>
      </c>
    </row>
    <row r="11" outlineLevel="1">
      <c r="A11" t="inlineStr" s="19">
        <is>
          <t xml:space="preserve">A · Flat $199/repo</t>
        </is>
      </c>
      <c r="B11" s="17">
        <f>(1-'Pricing plans'!D5)*'Bisect volumes'!B5*SUM('Unit costs per bisect'!D5,'Unit costs per bisect'!D6,'Unit costs per bisect'!D7)</f>
        <v>2.52</v>
      </c>
      <c r="C11" s="17">
        <f>(1-'Pricing plans'!D5)*'Bisect volumes'!B7*SUM('Unit costs per bisect'!D5,'Unit costs per bisect'!D6,'Unit costs per bisect'!D7)</f>
        <v>12.6</v>
      </c>
      <c r="D11" s="17">
        <f>(1-'Pricing plans'!D5)*'Bisect volumes'!B6*SUM('Unit costs per bisect'!D5,'Unit costs per bisect'!D6,'Unit costs per bisect'!D7)</f>
        <v>50.4</v>
      </c>
    </row>
    <row r="12" outlineLevel="1">
      <c r="A12" t="inlineStr" s="19">
        <is>
          <t xml:space="preserve">A · Flat $49/repo</t>
        </is>
      </c>
      <c r="B12" s="17">
        <f>(1-'Pricing plans'!D6)*'Bisect volumes'!B5*SUM('Unit costs per bisect'!D5,'Unit costs per bisect'!D6,'Unit costs per bisect'!D7)</f>
        <v>2.52</v>
      </c>
      <c r="C12" s="17">
        <f>(1-'Pricing plans'!D6)*'Bisect volumes'!B7*SUM('Unit costs per bisect'!D5,'Unit costs per bisect'!D6,'Unit costs per bisect'!D7)</f>
        <v>12.6</v>
      </c>
      <c r="D12" s="17">
        <f>(1-'Pricing plans'!D6)*'Bisect volumes'!B6*SUM('Unit costs per bisect'!D5,'Unit costs per bisect'!D6,'Unit costs per bisect'!D7)</f>
        <v>50.4</v>
      </c>
    </row>
    <row r="13" outlineLevel="1">
      <c r="A13" t="inlineStr" s="19">
        <is>
          <t xml:space="preserve">B · BYOK + $99/repo</t>
        </is>
      </c>
      <c r="B13" s="17">
        <f>(1-'Pricing plans'!D7)*'Bisect volumes'!B5*SUM('Unit costs per bisect'!D5,'Unit costs per bisect'!D6,'Unit costs per bisect'!D7)</f>
        <v>0</v>
      </c>
      <c r="C13" s="17">
        <f>(1-'Pricing plans'!D7)*'Bisect volumes'!B7*SUM('Unit costs per bisect'!D5,'Unit costs per bisect'!D6,'Unit costs per bisect'!D7)</f>
        <v>0</v>
      </c>
      <c r="D13" s="17">
        <f>(1-'Pricing plans'!D7)*'Bisect volumes'!B6*SUM('Unit costs per bisect'!D5,'Unit costs per bisect'!D6,'Unit costs per bisect'!D7)</f>
        <v>0</v>
      </c>
    </row>
    <row r="14" outlineLevel="1">
      <c r="A14" t="inlineStr" s="19">
        <is>
          <t xml:space="preserve">C · $5 per bisect</t>
        </is>
      </c>
      <c r="B14" s="17">
        <f>(1-'Pricing plans'!D8)*'Bisect volumes'!B5*SUM('Unit costs per bisect'!D5,'Unit costs per bisect'!D6,'Unit costs per bisect'!D7)</f>
        <v>2.52</v>
      </c>
      <c r="C14" s="17">
        <f>(1-'Pricing plans'!D8)*'Bisect volumes'!B7*SUM('Unit costs per bisect'!D5,'Unit costs per bisect'!D6,'Unit costs per bisect'!D7)</f>
        <v>12.6</v>
      </c>
      <c r="D14" s="17">
        <f>(1-'Pricing plans'!D8)*'Bisect volumes'!B6*SUM('Unit costs per bisect'!D5,'Unit costs per bisect'!D6,'Unit costs per bisect'!D7)</f>
        <v>50.4</v>
      </c>
    </row>
    <row r="15">
      <c r="A15" t="inlineStr" s="5">
        <is>
          <t xml:space="preserve">Card fees per customer</t>
        </is>
      </c>
      <c r="B15" t="str" s="13">
        <f>""</f>
        <v/>
      </c>
      <c r="C15" t="str" s="13">
        <f>""</f>
        <v/>
      </c>
      <c r="D15" t="str" s="13">
        <f>""</f>
        <v/>
      </c>
    </row>
    <row r="16" outlineLevel="1">
      <c r="A16" t="inlineStr" s="19">
        <is>
          <t xml:space="preserve">A · Flat $199/repo</t>
        </is>
      </c>
      <c r="B16" s="17">
        <f>IF(IF(IF(ISERROR('Gross margin per customer'!B6&gt;0),'Gross margin per customer'!B6&gt;0,IF('Gross margin per customer'!B6="","",'Gross margin per customer'!B6&gt;0))="",FALSE,IF(ISERROR('Gross margin per customer'!B6&gt;0),'Gross margin per customer'!B6&gt;0,IF('Gross margin per customer'!B6="","",'Gross margin per customer'!B6&gt;0))),'Gross margin per customer'!B6*'Billing assumptions'!B6+'Billing assumptions'!B7,0)</f>
        <v>6.071</v>
      </c>
      <c r="C16" s="17">
        <f>IF(IF(IF(ISERROR('Gross margin per customer'!C6&gt;0),'Gross margin per customer'!C6&gt;0,IF('Gross margin per customer'!C6="","",'Gross margin per customer'!C6&gt;0))="",FALSE,IF(ISERROR('Gross margin per customer'!C6&gt;0),'Gross margin per customer'!C6&gt;0,IF('Gross margin per customer'!C6="","",'Gross margin per customer'!C6&gt;0))),'Gross margin per customer'!C6*'Billing assumptions'!B6+'Billing assumptions'!B7,0)</f>
        <v>6.071</v>
      </c>
      <c r="D16" s="17">
        <f>IF(IF(IF(ISERROR('Gross margin per customer'!D6&gt;0),'Gross margin per customer'!D6&gt;0,IF('Gross margin per customer'!D6="","",'Gross margin per customer'!D6&gt;0))="",FALSE,IF(ISERROR('Gross margin per customer'!D6&gt;0),'Gross margin per customer'!D6&gt;0,IF('Gross margin per customer'!D6="","",'Gross margin per customer'!D6&gt;0))),'Gross margin per customer'!D6*'Billing assumptions'!B6+'Billing assumptions'!B7,0)</f>
        <v>6.071</v>
      </c>
    </row>
    <row r="17" outlineLevel="1">
      <c r="A17" t="inlineStr" s="19">
        <is>
          <t xml:space="preserve">A · Flat $49/repo</t>
        </is>
      </c>
      <c r="B17" s="17">
        <f>IF(IF(IF(ISERROR('Gross margin per customer'!B7&gt;0),'Gross margin per customer'!B7&gt;0,IF('Gross margin per customer'!B7="","",'Gross margin per customer'!B7&gt;0))="",FALSE,IF(ISERROR('Gross margin per customer'!B7&gt;0),'Gross margin per customer'!B7&gt;0,IF('Gross margin per customer'!B7="","",'Gross margin per customer'!B7&gt;0))),'Gross margin per customer'!B7*'Billing assumptions'!B6+'Billing assumptions'!B7,0)</f>
        <v>1.721</v>
      </c>
      <c r="C17" s="17">
        <f>IF(IF(IF(ISERROR('Gross margin per customer'!C7&gt;0),'Gross margin per customer'!C7&gt;0,IF('Gross margin per customer'!C7="","",'Gross margin per customer'!C7&gt;0))="",FALSE,IF(ISERROR('Gross margin per customer'!C7&gt;0),'Gross margin per customer'!C7&gt;0,IF('Gross margin per customer'!C7="","",'Gross margin per customer'!C7&gt;0))),'Gross margin per customer'!C7*'Billing assumptions'!B6+'Billing assumptions'!B7,0)</f>
        <v>1.721</v>
      </c>
      <c r="D17" s="17">
        <f>IF(IF(IF(ISERROR('Gross margin per customer'!D7&gt;0),'Gross margin per customer'!D7&gt;0,IF('Gross margin per customer'!D7="","",'Gross margin per customer'!D7&gt;0))="",FALSE,IF(ISERROR('Gross margin per customer'!D7&gt;0),'Gross margin per customer'!D7&gt;0,IF('Gross margin per customer'!D7="","",'Gross margin per customer'!D7&gt;0))),'Gross margin per customer'!D7*'Billing assumptions'!B6+'Billing assumptions'!B7,0)</f>
        <v>1.721</v>
      </c>
    </row>
    <row r="18" outlineLevel="1">
      <c r="A18" t="inlineStr" s="19">
        <is>
          <t xml:space="preserve">B · BYOK + $99/repo</t>
        </is>
      </c>
      <c r="B18" s="17">
        <f>IF(IF(IF(ISERROR('Gross margin per customer'!B8&gt;0),'Gross margin per customer'!B8&gt;0,IF('Gross margin per customer'!B8="","",'Gross margin per customer'!B8&gt;0))="",FALSE,IF(ISERROR('Gross margin per customer'!B8&gt;0),'Gross margin per customer'!B8&gt;0,IF('Gross margin per customer'!B8="","",'Gross margin per customer'!B8&gt;0))),'Gross margin per customer'!B8*'Billing assumptions'!B6+'Billing assumptions'!B7,0)</f>
        <v>3.171</v>
      </c>
      <c r="C18" s="17">
        <f>IF(IF(IF(ISERROR('Gross margin per customer'!C8&gt;0),'Gross margin per customer'!C8&gt;0,IF('Gross margin per customer'!C8="","",'Gross margin per customer'!C8&gt;0))="",FALSE,IF(ISERROR('Gross margin per customer'!C8&gt;0),'Gross margin per customer'!C8&gt;0,IF('Gross margin per customer'!C8="","",'Gross margin per customer'!C8&gt;0))),'Gross margin per customer'!C8*'Billing assumptions'!B6+'Billing assumptions'!B7,0)</f>
        <v>3.171</v>
      </c>
      <c r="D18" s="17">
        <f>IF(IF(IF(ISERROR('Gross margin per customer'!D8&gt;0),'Gross margin per customer'!D8&gt;0,IF('Gross margin per customer'!D8="","",'Gross margin per customer'!D8&gt;0))="",FALSE,IF(ISERROR('Gross margin per customer'!D8&gt;0),'Gross margin per customer'!D8&gt;0,IF('Gross margin per customer'!D8="","",'Gross margin per customer'!D8&gt;0))),'Gross margin per customer'!D8*'Billing assumptions'!B6+'Billing assumptions'!B7,0)</f>
        <v>3.171</v>
      </c>
    </row>
    <row r="19" outlineLevel="1">
      <c r="A19" t="inlineStr" s="19">
        <is>
          <t xml:space="preserve">C · $5 per bisect</t>
        </is>
      </c>
      <c r="B19" s="17">
        <f>IF(IF(IF(ISERROR('Gross margin per customer'!B9&gt;0),'Gross margin per customer'!B9&gt;0,IF('Gross margin per customer'!B9="","",'Gross margin per customer'!B9&gt;0))="",FALSE,IF(ISERROR('Gross margin per customer'!B9&gt;0),'Gross margin per customer'!B9&gt;0,IF('Gross margin per customer'!B9="","",'Gross margin per customer'!B9&gt;0))),'Gross margin per customer'!B9*'Billing assumptions'!B6+'Billing assumptions'!B7,0)</f>
        <v>1.7500000000000002</v>
      </c>
      <c r="C19" s="17">
        <f>IF(IF(IF(ISERROR('Gross margin per customer'!C9&gt;0),'Gross margin per customer'!C9&gt;0,IF('Gross margin per customer'!C9="","",'Gross margin per customer'!C9&gt;0))="",FALSE,IF(ISERROR('Gross margin per customer'!C9&gt;0),'Gross margin per customer'!C9&gt;0,IF('Gross margin per customer'!C9="","",'Gross margin per customer'!C9&gt;0))),'Gross margin per customer'!C9*'Billing assumptions'!B6+'Billing assumptions'!B7,0)</f>
        <v>7.55</v>
      </c>
      <c r="D19" s="17">
        <f>IF(IF(IF(ISERROR('Gross margin per customer'!D9&gt;0),'Gross margin per customer'!D9&gt;0,IF('Gross margin per customer'!D9="","",'Gross margin per customer'!D9&gt;0))="",FALSE,IF(ISERROR('Gross margin per customer'!D9&gt;0),'Gross margin per customer'!D9&gt;0,IF('Gross margin per customer'!D9="","",'Gross margin per customer'!D9&gt;0))),'Gross margin per customer'!D9*'Billing assumptions'!B6+'Billing assumptions'!B7,0)</f>
        <v>29.3</v>
      </c>
    </row>
    <row r="20">
      <c r="A20" t="inlineStr" s="5">
        <is>
          <t xml:space="preserve">Gross profit per customer</t>
        </is>
      </c>
      <c r="B20" t="str" s="13">
        <f>""</f>
        <v/>
      </c>
      <c r="C20" t="str" s="13">
        <f>""</f>
        <v/>
      </c>
      <c r="D20" t="str" s="13">
        <f>""</f>
        <v/>
      </c>
    </row>
    <row r="21" outlineLevel="1">
      <c r="A21" t="inlineStr" s="20">
        <is>
          <t xml:space="preserve">A · Flat $199/repo</t>
        </is>
      </c>
      <c r="B21" s="21">
        <f>'Gross margin per customer'!B6-'Gross margin per customer'!B11-'Gross margin per customer'!B16</f>
        <v>190.409</v>
      </c>
      <c r="C21" s="21">
        <f>'Gross margin per customer'!C6-'Gross margin per customer'!C11-'Gross margin per customer'!C16</f>
        <v>180.329</v>
      </c>
      <c r="D21" s="21">
        <f>'Gross margin per customer'!D6-'Gross margin per customer'!D11-'Gross margin per customer'!D16</f>
        <v>142.529</v>
      </c>
    </row>
    <row r="22" outlineLevel="1">
      <c r="A22" t="inlineStr" s="20">
        <is>
          <t xml:space="preserve">A · Flat $49/repo</t>
        </is>
      </c>
      <c r="B22" s="21">
        <f>'Gross margin per customer'!B7-'Gross margin per customer'!B12-'Gross margin per customer'!B17</f>
        <v>44.759</v>
      </c>
      <c r="C22" s="21">
        <f>'Gross margin per customer'!C7-'Gross margin per customer'!C12-'Gross margin per customer'!C17</f>
        <v>34.679</v>
      </c>
      <c r="D22" s="21">
        <f>'Gross margin per customer'!D7-'Gross margin per customer'!D12-'Gross margin per customer'!D17</f>
        <v>-3.1209999999999987</v>
      </c>
    </row>
    <row r="23" outlineLevel="1">
      <c r="A23" t="inlineStr" s="20">
        <is>
          <t xml:space="preserve">B · BYOK + $99/repo</t>
        </is>
      </c>
      <c r="B23" s="21">
        <f>'Gross margin per customer'!B8-'Gross margin per customer'!B13-'Gross margin per customer'!B18</f>
        <v>95.829</v>
      </c>
      <c r="C23" s="21">
        <f>'Gross margin per customer'!C8-'Gross margin per customer'!C13-'Gross margin per customer'!C18</f>
        <v>95.829</v>
      </c>
      <c r="D23" s="21">
        <f>'Gross margin per customer'!D8-'Gross margin per customer'!D13-'Gross margin per customer'!D18</f>
        <v>95.829</v>
      </c>
    </row>
    <row r="24" outlineLevel="1">
      <c r="A24" t="inlineStr" s="20">
        <is>
          <t xml:space="preserve">C · $5 per bisect</t>
        </is>
      </c>
      <c r="B24" s="21">
        <f>'Gross margin per customer'!B9-'Gross margin per customer'!B14-'Gross margin per customer'!B19</f>
        <v>45.73</v>
      </c>
      <c r="C24" s="21">
        <f>'Gross margin per customer'!C9-'Gross margin per customer'!C14-'Gross margin per customer'!C19</f>
        <v>229.85</v>
      </c>
      <c r="D24" s="21">
        <f>'Gross margin per customer'!D9-'Gross margin per customer'!D14-'Gross margin per customer'!D19</f>
        <v>920.3000000000001</v>
      </c>
    </row>
    <row r="25">
      <c r="A25" t="inlineStr" s="5">
        <is>
          <t xml:space="preserve">Gross margin %</t>
        </is>
      </c>
      <c r="B25" t="str" s="22">
        <f>""</f>
        <v/>
      </c>
      <c r="C25" t="str" s="22">
        <f>""</f>
        <v/>
      </c>
      <c r="D25" t="str" s="22">
        <f>""</f>
        <v/>
      </c>
    </row>
    <row r="26" outlineLevel="1">
      <c r="A26" t="inlineStr" s="20">
        <is>
          <t xml:space="preserve">A · Flat $199/repo</t>
        </is>
      </c>
      <c r="B26" s="23">
        <f>IFERROR('Gross margin per customer'!B21/'Gross margin per customer'!B6,"")</f>
        <v>0.9568291457286432</v>
      </c>
      <c r="C26" s="23">
        <f>IFERROR('Gross margin per customer'!C21/'Gross margin per customer'!C6,"")</f>
        <v>0.906175879396985</v>
      </c>
      <c r="D26" s="23">
        <f>IFERROR('Gross margin per customer'!D21/'Gross margin per customer'!D6,"")</f>
        <v>0.7162261306532663</v>
      </c>
    </row>
    <row r="27" outlineLevel="1">
      <c r="A27" t="inlineStr" s="20">
        <is>
          <t xml:space="preserve">A · Flat $49/repo</t>
        </is>
      </c>
      <c r="B27" s="23">
        <f>IFERROR('Gross margin per customer'!B22/'Gross margin per customer'!B7,"")</f>
        <v>0.9134489795918368</v>
      </c>
      <c r="C27" s="23">
        <f>IFERROR('Gross margin per customer'!C22/'Gross margin per customer'!C7,"")</f>
        <v>0.7077346938775511</v>
      </c>
      <c r="D27" s="23">
        <f>IFERROR('Gross margin per customer'!D22/'Gross margin per customer'!D7,"")</f>
        <v>-0.06369387755102038</v>
      </c>
    </row>
    <row r="28" outlineLevel="1">
      <c r="A28" t="inlineStr" s="20">
        <is>
          <t xml:space="preserve">B · BYOK + $99/repo</t>
        </is>
      </c>
      <c r="B28" s="23">
        <f>IFERROR('Gross margin per customer'!B23/'Gross margin per customer'!B8,"")</f>
        <v>0.9679696969696969</v>
      </c>
      <c r="C28" s="23">
        <f>IFERROR('Gross margin per customer'!C23/'Gross margin per customer'!C8,"")</f>
        <v>0.9679696969696969</v>
      </c>
      <c r="D28" s="23">
        <f>IFERROR('Gross margin per customer'!D23/'Gross margin per customer'!D8,"")</f>
        <v>0.9679696969696969</v>
      </c>
    </row>
    <row r="29" outlineLevel="1">
      <c r="A29" t="inlineStr" s="20">
        <is>
          <t xml:space="preserve">C · $5 per bisect</t>
        </is>
      </c>
      <c r="B29" s="23">
        <f>IFERROR('Gross margin per customer'!B24/'Gross margin per customer'!B9,"")</f>
        <v>0.9146</v>
      </c>
      <c r="C29" s="23">
        <f>IFERROR('Gross margin per customer'!C24/'Gross margin per customer'!C9,"")</f>
        <v>0.9194</v>
      </c>
      <c r="D29" s="23">
        <f>IFERROR('Gross margin per customer'!D24/'Gross margin per customer'!D9,"")</f>
        <v>0.9203000000000001</v>
      </c>
    </row>
  </sheetData>
  <mergeCells count="1">
    <mergeCell ref="A1:D1"/>
  </mergeCells>
</worksheet>
</file>

<file path=xl/worksheets/sheet6.xml><?xml version="1.0" encoding="utf-8"?>
<worksheet xmlns="http://schemas.openxmlformats.org/spreadsheetml/2006/main">
  <dimension ref="A1:B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Break-even inputs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Founders</t>
        </is>
      </c>
      <c r="B5" s="15">
        <f>2</f>
        <v>2</v>
      </c>
    </row>
    <row r="6">
      <c r="A6" t="inlineStr" s="8">
        <is>
          <t xml:space="preserve">Founder cost per month</t>
        </is>
      </c>
      <c r="B6" s="16">
        <f>5000</f>
        <v>5000</v>
      </c>
    </row>
    <row r="7">
      <c r="A7" t="inlineStr" s="8">
        <is>
          <t xml:space="preserve">Other fixed costs per month</t>
        </is>
      </c>
      <c r="B7" s="16">
        <f>500</f>
        <v>500</v>
      </c>
    </row>
    <row r="8">
      <c r="A8" t="inlineStr" s="5">
        <is>
          <t xml:space="preserve">Monthly fixed costs</t>
        </is>
      </c>
      <c r="B8" s="14">
        <f>'Break-even inputs'!B5*'Break-even inputs'!B6+'Break-even inputs'!B7</f>
        <v>10500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D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Break-even paying repos</t>
        </is>
      </c>
    </row>
    <row r="2" ht="20" customHeight="1">
      <c r="A2" t="inlineStr" s="2">
        <is>
          <t xml:space="preserve">Pricing comparison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10 bisects/mo</t>
        </is>
      </c>
      <c r="C4" t="inlineStr" s="4">
        <is>
          <t xml:space="preserve">50 bisects/mo</t>
        </is>
      </c>
      <c r="D4" t="inlineStr" s="4">
        <is>
          <t xml:space="preserve">200 bisects/mo</t>
        </is>
      </c>
    </row>
    <row r="5">
      <c r="A5" t="inlineStr" s="5">
        <is>
          <t xml:space="preserve">Break-even paying repos</t>
        </is>
      </c>
      <c r="B5" t="str" s="15">
        <f>""</f>
        <v/>
      </c>
      <c r="C5" t="str" s="15">
        <f>""</f>
        <v/>
      </c>
      <c r="D5" t="str" s="15">
        <f>""</f>
        <v/>
      </c>
    </row>
    <row r="6" outlineLevel="1">
      <c r="A6" t="inlineStr" s="20">
        <is>
          <t xml:space="preserve">A · Flat $199/repo</t>
        </is>
      </c>
      <c r="B6" s="24">
        <f>IF(IF(IF(ISERROR('Gross margin per customer'!B21&gt;0),'Gross margin per customer'!B21&gt;0,IF('Gross margin per customer'!B21="","",'Gross margin per customer'!B21&gt;0))="",FALSE,IF(ISERROR('Gross margin per customer'!B21&gt;0),'Gross margin per customer'!B21&gt;0,IF('Gross margin per customer'!B21="","",'Gross margin per customer'!B21&gt;0))),CEILING('Break-even inputs'!B8/('Gross margin per customer'!B21/'Billing assumptions'!B5),1),"")</f>
        <v>56</v>
      </c>
      <c r="C6" s="24">
        <f>IF(IF(IF(ISERROR('Gross margin per customer'!C21&gt;0),'Gross margin per customer'!C21&gt;0,IF('Gross margin per customer'!C21="","",'Gross margin per customer'!C21&gt;0))="",FALSE,IF(ISERROR('Gross margin per customer'!C21&gt;0),'Gross margin per customer'!C21&gt;0,IF('Gross margin per customer'!C21="","",'Gross margin per customer'!C21&gt;0))),CEILING('Break-even inputs'!B8/('Gross margin per customer'!C21/'Billing assumptions'!B5),1),"")</f>
        <v>59</v>
      </c>
      <c r="D6" s="24">
        <f>IF(IF(IF(ISERROR('Gross margin per customer'!D21&gt;0),'Gross margin per customer'!D21&gt;0,IF('Gross margin per customer'!D21="","",'Gross margin per customer'!D21&gt;0))="",FALSE,IF(ISERROR('Gross margin per customer'!D21&gt;0),'Gross margin per customer'!D21&gt;0,IF('Gross margin per customer'!D21="","",'Gross margin per customer'!D21&gt;0))),CEILING('Break-even inputs'!B8/('Gross margin per customer'!D21/'Billing assumptions'!B5),1),"")</f>
        <v>74</v>
      </c>
    </row>
    <row r="7" outlineLevel="1">
      <c r="A7" t="inlineStr" s="20">
        <is>
          <t xml:space="preserve">A · Flat $49/repo</t>
        </is>
      </c>
      <c r="B7" s="24">
        <f>IF(IF(IF(ISERROR('Gross margin per customer'!B22&gt;0),'Gross margin per customer'!B22&gt;0,IF('Gross margin per customer'!B22="","",'Gross margin per customer'!B22&gt;0))="",FALSE,IF(ISERROR('Gross margin per customer'!B22&gt;0),'Gross margin per customer'!B22&gt;0,IF('Gross margin per customer'!B22="","",'Gross margin per customer'!B22&gt;0))),CEILING('Break-even inputs'!B8/('Gross margin per customer'!B22/'Billing assumptions'!B5),1),"")</f>
        <v>235</v>
      </c>
      <c r="C7" s="24">
        <f>IF(IF(IF(ISERROR('Gross margin per customer'!C22&gt;0),'Gross margin per customer'!C22&gt;0,IF('Gross margin per customer'!C22="","",'Gross margin per customer'!C22&gt;0))="",FALSE,IF(ISERROR('Gross margin per customer'!C22&gt;0),'Gross margin per customer'!C22&gt;0,IF('Gross margin per customer'!C22="","",'Gross margin per customer'!C22&gt;0))),CEILING('Break-even inputs'!B8/('Gross margin per customer'!C22/'Billing assumptions'!B5),1),"")</f>
        <v>303</v>
      </c>
      <c r="D7" t="str" s="24">
        <f>IF(IF(IF(ISERROR('Gross margin per customer'!D22&gt;0),'Gross margin per customer'!D22&gt;0,IF('Gross margin per customer'!D22="","",'Gross margin per customer'!D22&gt;0))="",FALSE,IF(ISERROR('Gross margin per customer'!D22&gt;0),'Gross margin per customer'!D22&gt;0,IF('Gross margin per customer'!D22="","",'Gross margin per customer'!D22&gt;0))),CEILING('Break-even inputs'!B8/('Gross margin per customer'!D22/'Billing assumptions'!B5),1),"")</f>
        <v/>
      </c>
    </row>
    <row r="8" outlineLevel="1">
      <c r="A8" t="inlineStr" s="20">
        <is>
          <t xml:space="preserve">B · BYOK + $99/repo</t>
        </is>
      </c>
      <c r="B8" s="24">
        <f>IF(IF(IF(ISERROR('Gross margin per customer'!B23&gt;0),'Gross margin per customer'!B23&gt;0,IF('Gross margin per customer'!B23="","",'Gross margin per customer'!B23&gt;0))="",FALSE,IF(ISERROR('Gross margin per customer'!B23&gt;0),'Gross margin per customer'!B23&gt;0,IF('Gross margin per customer'!B23="","",'Gross margin per customer'!B23&gt;0))),CEILING('Break-even inputs'!B8/('Gross margin per customer'!B23/'Billing assumptions'!B5),1),"")</f>
        <v>110</v>
      </c>
      <c r="C8" s="24">
        <f>IF(IF(IF(ISERROR('Gross margin per customer'!C23&gt;0),'Gross margin per customer'!C23&gt;0,IF('Gross margin per customer'!C23="","",'Gross margin per customer'!C23&gt;0))="",FALSE,IF(ISERROR('Gross margin per customer'!C23&gt;0),'Gross margin per customer'!C23&gt;0,IF('Gross margin per customer'!C23="","",'Gross margin per customer'!C23&gt;0))),CEILING('Break-even inputs'!B8/('Gross margin per customer'!C23/'Billing assumptions'!B5),1),"")</f>
        <v>110</v>
      </c>
      <c r="D8" s="24">
        <f>IF(IF(IF(ISERROR('Gross margin per customer'!D23&gt;0),'Gross margin per customer'!D23&gt;0,IF('Gross margin per customer'!D23="","",'Gross margin per customer'!D23&gt;0))="",FALSE,IF(ISERROR('Gross margin per customer'!D23&gt;0),'Gross margin per customer'!D23&gt;0,IF('Gross margin per customer'!D23="","",'Gross margin per customer'!D23&gt;0))),CEILING('Break-even inputs'!B8/('Gross margin per customer'!D23/'Billing assumptions'!B5),1),"")</f>
        <v>110</v>
      </c>
    </row>
    <row r="9" outlineLevel="1">
      <c r="A9" t="inlineStr" s="20">
        <is>
          <t xml:space="preserve">C · $5 per bisect</t>
        </is>
      </c>
      <c r="B9" s="24">
        <f>IF(IF(IF(ISERROR('Gross margin per customer'!B24&gt;0),'Gross margin per customer'!B24&gt;0,IF('Gross margin per customer'!B24="","",'Gross margin per customer'!B24&gt;0))="",FALSE,IF(ISERROR('Gross margin per customer'!B24&gt;0),'Gross margin per customer'!B24&gt;0,IF('Gross margin per customer'!B24="","",'Gross margin per customer'!B24&gt;0))),CEILING('Break-even inputs'!B8/('Gross margin per customer'!B24/'Billing assumptions'!B5),1),"")</f>
        <v>230</v>
      </c>
      <c r="C9" s="24">
        <f>IF(IF(IF(ISERROR('Gross margin per customer'!C24&gt;0),'Gross margin per customer'!C24&gt;0,IF('Gross margin per customer'!C24="","",'Gross margin per customer'!C24&gt;0))="",FALSE,IF(ISERROR('Gross margin per customer'!C24&gt;0),'Gross margin per customer'!C24&gt;0,IF('Gross margin per customer'!C24="","",'Gross margin per customer'!C24&gt;0))),CEILING('Break-even inputs'!B8/('Gross margin per customer'!C24/'Billing assumptions'!B5),1),"")</f>
        <v>46</v>
      </c>
      <c r="D9" s="24">
        <f>IF(IF(IF(ISERROR('Gross margin per customer'!D24&gt;0),'Gross margin per customer'!D24&gt;0,IF('Gross margin per customer'!D24="","",'Gross margin per customer'!D24&gt;0))="",FALSE,IF(ISERROR('Gross margin per customer'!D24&gt;0),'Gross margin per customer'!D24&gt;0,IF('Gross margin per customer'!D24="","",'Gross margin per customer'!D24&gt;0))),CEILING('Break-even inputs'!B8/('Gross margin per customer'!D24/'Billing assumptions'!B5),1),"")</f>
        <v>12</v>
      </c>
    </row>
  </sheetData>
  <mergeCells count="1">
    <mergeCell ref="A1:D1"/>
  </mergeCells>
</worksheet>
</file>

<file path=xl/worksheets/sheet8.xml><?xml version="1.0" encoding="utf-8"?>
<worksheet xmlns="http://schemas.openxmlformats.org/spreadsheetml/2006/main">
  <dimension ref="A1:C27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5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Value</t>
        </is>
      </c>
    </row>
    <row r="6">
      <c r="A6" t="inlineStr" s="26">
        <is>
          <t xml:space="preserve">Card fee per invoice</t>
        </is>
      </c>
      <c r="B6" s="27">
        <f>'Billing assumptions'!B7</f>
        <v>0.3</v>
      </c>
    </row>
    <row r="7">
      <c r="A7" t="inlineStr" s="26">
        <is>
          <t xml:space="preserve">Card fee rate</t>
        </is>
      </c>
      <c r="B7" s="27">
        <f>'Billing assumptions'!B6</f>
        <v>0.029</v>
      </c>
    </row>
    <row r="8">
      <c r="A8" t="inlineStr" s="26">
        <is>
          <t xml:space="preserve">Monthly fixed costs</t>
        </is>
      </c>
      <c r="B8" s="27">
        <f>'Model inputs'!C11*'Model inputs'!C10+'Model inputs'!C12</f>
        <v>10500</v>
      </c>
    </row>
    <row r="9">
      <c r="A9" t="inlineStr" s="26">
        <is>
          <t xml:space="preserve">Repos per customer</t>
        </is>
      </c>
      <c r="B9" s="27">
        <f>'Billing assumptions'!B5</f>
        <v>1</v>
      </c>
    </row>
    <row r="10">
      <c r="A10" t="inlineStr" s="26">
        <is>
          <t xml:space="preserve">Founder cost per month · Break-even inputs</t>
        </is>
      </c>
      <c r="C10" s="27">
        <f>'Break-even inputs'!B6</f>
        <v>5000</v>
      </c>
    </row>
    <row r="11">
      <c r="A11" t="inlineStr" s="26">
        <is>
          <t xml:space="preserve">Founders · Break-even inputs</t>
        </is>
      </c>
      <c r="C11" s="27">
        <f>'Break-even inputs'!B5</f>
        <v>2</v>
      </c>
    </row>
    <row r="12">
      <c r="A12" t="inlineStr" s="26">
        <is>
          <t xml:space="preserve">Other fixed costs per month · Break-even inputs</t>
        </is>
      </c>
      <c r="C12" s="27">
        <f>'Break-even inputs'!B7</f>
        <v>500</v>
      </c>
    </row>
    <row r="13">
      <c r="A13" t="inlineStr" s="26">
        <is>
          <t xml:space="preserve">LLM cost per bisect</t>
        </is>
      </c>
      <c r="B13" s="11">
        <f>'Model inputs'!B17*'Model inputs'!B21</f>
        <v>0</v>
      </c>
    </row>
    <row r="14" outlineLevel="1">
      <c r="A14" t="inlineStr" s="28">
        <is>
          <t xml:space="preserve">LLM cost per bisect &gt; Bisect (v2)</t>
        </is>
      </c>
      <c r="B14" s="27">
        <f>'Model inputs'!B18*'Model inputs'!B22</f>
        <v>0.252</v>
      </c>
    </row>
    <row r="15" outlineLevel="1">
      <c r="A15" t="inlineStr" s="28">
        <is>
          <t xml:space="preserve">LLM cost per bisect &gt; Fix &amp; verify</t>
        </is>
      </c>
      <c r="B15" s="27">
        <f>'Model inputs'!B19*'Model inputs'!B23</f>
        <v>0</v>
      </c>
    </row>
    <row r="16" outlineLevel="1">
      <c r="A16" t="inlineStr" s="28">
        <is>
          <t xml:space="preserve">LLM cost per bisect &gt; Localise</t>
        </is>
      </c>
      <c r="B16" s="27">
        <f>'Model inputs'!B20*'Model inputs'!B24</f>
        <v>0</v>
      </c>
    </row>
    <row r="17">
      <c r="A17" t="inlineStr" s="26">
        <is>
          <t xml:space="preserve">LLM cost per run</t>
        </is>
      </c>
      <c r="B17" s="11">
        <v>0</v>
      </c>
    </row>
    <row r="18" outlineLevel="1">
      <c r="A18" t="inlineStr" s="28">
        <is>
          <t xml:space="preserve">LLM cost per run &gt; Bisect (v2)</t>
        </is>
      </c>
      <c r="B18" s="27">
        <f>'Unit costs per bisect'!B5</f>
        <v>0.252</v>
      </c>
    </row>
    <row r="19" outlineLevel="1">
      <c r="A19" t="inlineStr" s="28">
        <is>
          <t xml:space="preserve">LLM cost per run &gt; Fix &amp; verify</t>
        </is>
      </c>
      <c r="B19" s="27">
        <f>'Unit costs per bisect'!B6</f>
        <v>0.3337</v>
      </c>
    </row>
    <row r="20" outlineLevel="1">
      <c r="A20" t="inlineStr" s="28">
        <is>
          <t xml:space="preserve">LLM cost per run &gt; Localise</t>
        </is>
      </c>
      <c r="B20" s="27">
        <f>'Unit costs per bisect'!B7</f>
        <v>0.2002</v>
      </c>
    </row>
    <row r="21">
      <c r="A21" t="inlineStr" s="26">
        <is>
          <t xml:space="preserve">Stage run rate</t>
        </is>
      </c>
      <c r="B21" s="11">
        <v>0</v>
      </c>
    </row>
    <row r="22" outlineLevel="1">
      <c r="A22" t="inlineStr" s="28">
        <is>
          <t xml:space="preserve">Stage run rate &gt; Bisect (v2)</t>
        </is>
      </c>
      <c r="B22" s="27">
        <f>'Unit costs per bisect'!C5</f>
        <v>1</v>
      </c>
    </row>
    <row r="23" outlineLevel="1">
      <c r="A23" t="inlineStr" s="28">
        <is>
          <t xml:space="preserve">Stage run rate &gt; Fix &amp; verify</t>
        </is>
      </c>
      <c r="B23" s="27">
        <f>'Unit costs per bisect'!C6</f>
        <v>0</v>
      </c>
    </row>
    <row r="24" outlineLevel="1">
      <c r="A24" t="inlineStr" s="28">
        <is>
          <t xml:space="preserve">Stage run rate &gt; Localise</t>
        </is>
      </c>
      <c r="B24" s="27">
        <f>'Unit costs per bisect'!C7</f>
        <v>0</v>
      </c>
    </row>
    <row r="25">
      <c r="A25" t="inlineStr" s="26">
        <is>
          <t xml:space="preserve">Founder cost per month · Break-even paying repos</t>
        </is>
      </c>
      <c r="B25" s="27">
        <f>'Break-even inputs'!B6</f>
        <v>5000</v>
      </c>
    </row>
    <row r="26">
      <c r="A26" t="inlineStr" s="26">
        <is>
          <t xml:space="preserve">Founders · Break-even paying repos</t>
        </is>
      </c>
      <c r="B26" s="27">
        <f>'Break-even inputs'!B5</f>
        <v>2</v>
      </c>
    </row>
    <row r="27">
      <c r="A27" t="inlineStr" s="26">
        <is>
          <t xml:space="preserve">Other fixed costs per month · Break-even paying repos</t>
        </is>
      </c>
      <c r="B27" s="27">
        <f>'Break-even inputs'!B7</f>
        <v>500</v>
      </c>
    </row>
  </sheetData>
  <mergeCells count="2">
    <mergeCell ref="A1:C1"/>
    <mergeCell ref="A2:C2"/>
  </mergeCells>
</worksheet>
</file>